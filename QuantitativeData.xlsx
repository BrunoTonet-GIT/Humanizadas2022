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iginal Data" sheetId="1" r:id="rId4"/>
    <sheet state="visible" name="Página3" sheetId="2" r:id="rId5"/>
    <sheet state="hidden" name="Data in Local Currency" sheetId="3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R68">
      <text>
        <t xml:space="preserve">Outros países fazem parte, mas não a frança
	-Murilo Guellis</t>
      </text>
    </comment>
    <comment authorId="0" ref="R6">
      <text>
        <t xml:space="preserve">A Irlanda não está no Pacto Global mas outros países estão
	-Murilo Guellis</t>
      </text>
    </comment>
  </commentList>
</comments>
</file>

<file path=xl/sharedStrings.xml><?xml version="1.0" encoding="utf-8"?>
<sst xmlns="http://schemas.openxmlformats.org/spreadsheetml/2006/main" count="1428" uniqueCount="291">
  <si>
    <t>Empresa</t>
  </si>
  <si>
    <t>BLOOOMBERG TICKER</t>
  </si>
  <si>
    <t>ISiN Code</t>
  </si>
  <si>
    <t>Moeda Antiga</t>
  </si>
  <si>
    <t>Glassdoor</t>
  </si>
  <si>
    <t>Comparably</t>
  </si>
  <si>
    <t>Google Finance</t>
  </si>
  <si>
    <t>Pacto Global</t>
  </si>
  <si>
    <t>Geral</t>
  </si>
  <si>
    <t>Cultura e valores</t>
  </si>
  <si>
    <t>Alta liderança</t>
  </si>
  <si>
    <t>Culture Score</t>
  </si>
  <si>
    <t>eNPS</t>
  </si>
  <si>
    <t>CEO</t>
  </si>
  <si>
    <t>Managers</t>
  </si>
  <si>
    <t>Preço Ação Primeira Abertura [EUR]</t>
  </si>
  <si>
    <t>Ano do Preço Ação Primeira Abertura</t>
  </si>
  <si>
    <t>Valor da ação há 5 anos [EUR]</t>
  </si>
  <si>
    <t>Preço Ação Último Fechamento [EUR]</t>
  </si>
  <si>
    <t>Receita 2021 [EUR]</t>
  </si>
  <si>
    <t>EBTIDA 2021 [EUR]</t>
  </si>
  <si>
    <t>Faz parte do Pacto? Sim ou Não</t>
  </si>
  <si>
    <t>Quantos engagements faz parte?</t>
  </si>
  <si>
    <t>BMW AG</t>
  </si>
  <si>
    <t>BMW GY Equity</t>
  </si>
  <si>
    <t>DE0005190003</t>
  </si>
  <si>
    <t>Euro</t>
  </si>
  <si>
    <t>Sim</t>
  </si>
  <si>
    <t>WALT DISNEY CO</t>
  </si>
  <si>
    <t>DIS US Equity</t>
  </si>
  <si>
    <t>US2546871060</t>
  </si>
  <si>
    <t>Dolar</t>
  </si>
  <si>
    <t>Não</t>
  </si>
  <si>
    <t>ACCENTURE PLCA</t>
  </si>
  <si>
    <t>ACN US Equity</t>
  </si>
  <si>
    <t>IE00B4BNMY34</t>
  </si>
  <si>
    <t>MCDONALDS CORP</t>
  </si>
  <si>
    <t>MCD US Equity</t>
  </si>
  <si>
    <t>US5801351017</t>
  </si>
  <si>
    <t>HYUNDAI MOTOGDR</t>
  </si>
  <si>
    <t>HYUD LI Equity</t>
  </si>
  <si>
    <t>USY384721251</t>
  </si>
  <si>
    <t>N/A</t>
  </si>
  <si>
    <t>CATERPILLAR INC</t>
  </si>
  <si>
    <t>CAT US Equity</t>
  </si>
  <si>
    <t>US1491231015</t>
  </si>
  <si>
    <t>ALIBABA GRPADR</t>
  </si>
  <si>
    <t>BABA US Equity</t>
  </si>
  <si>
    <t>US01609W1027</t>
  </si>
  <si>
    <t>STARBUCKS CORP</t>
  </si>
  <si>
    <t>SBUX US Equity</t>
  </si>
  <si>
    <t>US8552441094</t>
  </si>
  <si>
    <t>VIDRALA</t>
  </si>
  <si>
    <t>VID SM Equity</t>
  </si>
  <si>
    <t>ES0183746314</t>
  </si>
  <si>
    <t>ROYAL DUTCH SHA</t>
  </si>
  <si>
    <t>RDSA NA Equity</t>
  </si>
  <si>
    <t>GB00B03MLX29</t>
  </si>
  <si>
    <t>HOLCIM LTD</t>
  </si>
  <si>
    <t>HOLN SW Equity</t>
  </si>
  <si>
    <t>CH0012214059</t>
  </si>
  <si>
    <t>Franco Suíço</t>
  </si>
  <si>
    <t>MICHELIN</t>
  </si>
  <si>
    <t>ML FP Equity</t>
  </si>
  <si>
    <t>FR0000121261</t>
  </si>
  <si>
    <t>RYANAIR HLDGS</t>
  </si>
  <si>
    <t>RYA ID Equity</t>
  </si>
  <si>
    <t>IE00BYTBXV33</t>
  </si>
  <si>
    <t>TRIGANO SA</t>
  </si>
  <si>
    <t>TRI FP Equity</t>
  </si>
  <si>
    <t>FR0005691656</t>
  </si>
  <si>
    <t>BENETEAU</t>
  </si>
  <si>
    <t>BEN FP Equity</t>
  </si>
  <si>
    <t>FR0000035164</t>
  </si>
  <si>
    <t>SAINT GOBAIN</t>
  </si>
  <si>
    <t>SGO FP Equity</t>
  </si>
  <si>
    <t>FR0000125007</t>
  </si>
  <si>
    <t>BEKAERT NV</t>
  </si>
  <si>
    <t>BEKB BB Equity</t>
  </si>
  <si>
    <t>BE0974258874</t>
  </si>
  <si>
    <t>STABILUS SA</t>
  </si>
  <si>
    <t>STM GY Equity</t>
  </si>
  <si>
    <t>LU1066226637</t>
  </si>
  <si>
    <t>DECEUNINCK NV</t>
  </si>
  <si>
    <t>DECB BB Equity</t>
  </si>
  <si>
    <t>BE0003789063</t>
  </si>
  <si>
    <t>MUNCHENER RUER</t>
  </si>
  <si>
    <t>MUV2 GY Equity</t>
  </si>
  <si>
    <t>DE0008430026</t>
  </si>
  <si>
    <t>AENA SME SA</t>
  </si>
  <si>
    <t>AENA SM Equity</t>
  </si>
  <si>
    <t>ES0105046009</t>
  </si>
  <si>
    <t>CORTICEIRA AMORI</t>
  </si>
  <si>
    <t>COR PL Equity</t>
  </si>
  <si>
    <t>PTCOR0AE0006</t>
  </si>
  <si>
    <t>SANOFI</t>
  </si>
  <si>
    <t>SAN FP Equity</t>
  </si>
  <si>
    <t>FR0000120578</t>
  </si>
  <si>
    <t>KONINKLIJKE PHIL</t>
  </si>
  <si>
    <t>PHIA NA Equity</t>
  </si>
  <si>
    <t>NL0000009538</t>
  </si>
  <si>
    <t>ABRDN PLC</t>
  </si>
  <si>
    <t>ABDN LN Equity</t>
  </si>
  <si>
    <t>GB00BF8Q6K64</t>
  </si>
  <si>
    <t>Libra Esterlina</t>
  </si>
  <si>
    <t>ROCHE HLDGGENUS</t>
  </si>
  <si>
    <t>ROG SW Equity</t>
  </si>
  <si>
    <t>CH0012032048</t>
  </si>
  <si>
    <t>ACERINOX</t>
  </si>
  <si>
    <t>ACX SM Equity</t>
  </si>
  <si>
    <t>ES0132105018</t>
  </si>
  <si>
    <t>VOPAK</t>
  </si>
  <si>
    <t>VPK NA Equity</t>
  </si>
  <si>
    <t>NL0009432491</t>
  </si>
  <si>
    <t>CBRE GROUP INCA</t>
  </si>
  <si>
    <t>CBRE US Equity</t>
  </si>
  <si>
    <t>US12504L1098</t>
  </si>
  <si>
    <t>MEDTRONIC PLC</t>
  </si>
  <si>
    <t>MDT US Equity</t>
  </si>
  <si>
    <t>IE00BTN1Y115</t>
  </si>
  <si>
    <t>ANHEUSERBUSCH I</t>
  </si>
  <si>
    <t>ABI BB Equity</t>
  </si>
  <si>
    <t>BE0974293251</t>
  </si>
  <si>
    <t>FANUC CORP</t>
  </si>
  <si>
    <t>6954 JP Equity</t>
  </si>
  <si>
    <t>JP3802400006</t>
  </si>
  <si>
    <t>Iene</t>
  </si>
  <si>
    <t>EURONAV NV</t>
  </si>
  <si>
    <t>EURN BB Equity</t>
  </si>
  <si>
    <t>BE0003816338</t>
  </si>
  <si>
    <t>ORANGE</t>
  </si>
  <si>
    <t>ORA FP Equity</t>
  </si>
  <si>
    <t>FR0000133308</t>
  </si>
  <si>
    <t>LAM RESEARCH</t>
  </si>
  <si>
    <t>LRCX US Equity</t>
  </si>
  <si>
    <t>US5128071082</t>
  </si>
  <si>
    <t>GENERALI ASSIC</t>
  </si>
  <si>
    <t>G IM Equity</t>
  </si>
  <si>
    <t>IT0000062072</t>
  </si>
  <si>
    <t>DEUTSCHE BOERSE</t>
  </si>
  <si>
    <t>DB1 GY Equity</t>
  </si>
  <si>
    <t>DE0005810055</t>
  </si>
  <si>
    <t>WABTEC CORP</t>
  </si>
  <si>
    <t>WAB US Equity</t>
  </si>
  <si>
    <t>US9297401088</t>
  </si>
  <si>
    <t>KOMATSU LTD</t>
  </si>
  <si>
    <t>6301 JP Equity</t>
  </si>
  <si>
    <t>JP3304200003</t>
  </si>
  <si>
    <t>SAFHOLLAND SE</t>
  </si>
  <si>
    <t>SFQ GY Equity</t>
  </si>
  <si>
    <t>DE000SAFH001</t>
  </si>
  <si>
    <t>ASTRAZENECA PLC</t>
  </si>
  <si>
    <t>AZN LN Equity</t>
  </si>
  <si>
    <t>GB0009895292</t>
  </si>
  <si>
    <t>ABBOTT LABS</t>
  </si>
  <si>
    <t>ABT US Equity</t>
  </si>
  <si>
    <t>US0028241000</t>
  </si>
  <si>
    <t>DEUTSCHE POSTRG</t>
  </si>
  <si>
    <t>DPW GY Equity</t>
  </si>
  <si>
    <t>DE0005552004</t>
  </si>
  <si>
    <t>BOSKALIS WESTMIN</t>
  </si>
  <si>
    <t>BOKA NA Equity</t>
  </si>
  <si>
    <t>NL0000852580</t>
  </si>
  <si>
    <t>AXA</t>
  </si>
  <si>
    <t>CS FP Equity</t>
  </si>
  <si>
    <t>FR0000120628</t>
  </si>
  <si>
    <t>VISA INCCLASS A</t>
  </si>
  <si>
    <t>V US Equity</t>
  </si>
  <si>
    <t>US92826C8394</t>
  </si>
  <si>
    <t>PEARSON PLC</t>
  </si>
  <si>
    <t>PSON LN Equity</t>
  </si>
  <si>
    <t>GB0006776081</t>
  </si>
  <si>
    <t>BBVA</t>
  </si>
  <si>
    <t>BBVA SM Equity</t>
  </si>
  <si>
    <t>ES0113211835</t>
  </si>
  <si>
    <t>AVIVA PLC</t>
  </si>
  <si>
    <t>AV/ LN Equity</t>
  </si>
  <si>
    <t>GB0002162385</t>
  </si>
  <si>
    <t>DUERR AG</t>
  </si>
  <si>
    <t>DUE GY Equity</t>
  </si>
  <si>
    <t>DE0005565204</t>
  </si>
  <si>
    <t>TRIPADVISOR INC</t>
  </si>
  <si>
    <t>TRIP US Equity</t>
  </si>
  <si>
    <t>US8969452015</t>
  </si>
  <si>
    <t>KENDRION NV</t>
  </si>
  <si>
    <t>KENDR NA Equity</t>
  </si>
  <si>
    <t>NL0000852531</t>
  </si>
  <si>
    <t>BNP PARIBAS</t>
  </si>
  <si>
    <t>BNP FP Equity</t>
  </si>
  <si>
    <t>FR0000131104</t>
  </si>
  <si>
    <t>SIXT SEPRFD</t>
  </si>
  <si>
    <t>SIX3 GY Equity</t>
  </si>
  <si>
    <t>DE0007231334</t>
  </si>
  <si>
    <t>NATURGY ENERGY</t>
  </si>
  <si>
    <t>NTGY SM Equity</t>
  </si>
  <si>
    <t>ES0116870314</t>
  </si>
  <si>
    <t>CENTRAL JAPAN RL</t>
  </si>
  <si>
    <t>9022 JP Equity</t>
  </si>
  <si>
    <t>JP3566800003</t>
  </si>
  <si>
    <t>VODAFONE GROUP</t>
  </si>
  <si>
    <t>VOD LN Equity</t>
  </si>
  <si>
    <t>GB00BH4HKS39</t>
  </si>
  <si>
    <t>DALATA HOTEL GRO</t>
  </si>
  <si>
    <t>DHG ID Equity</t>
  </si>
  <si>
    <t>IE00BJMZDW83</t>
  </si>
  <si>
    <t>MAPFRE SA</t>
  </si>
  <si>
    <t>MAP SM Equity</t>
  </si>
  <si>
    <t>ES0124244E34</t>
  </si>
  <si>
    <t>PROSIEBENSAT.1 M</t>
  </si>
  <si>
    <t>PSM GY Equity</t>
  </si>
  <si>
    <t>DE000PSM7770</t>
  </si>
  <si>
    <t>SOLUTIONS 30 SE</t>
  </si>
  <si>
    <t>S30 FP Equity</t>
  </si>
  <si>
    <t>FR0013379484</t>
  </si>
  <si>
    <t>BOOKING HOLDINGS</t>
  </si>
  <si>
    <t>BKNG US Equity</t>
  </si>
  <si>
    <t>US09857L1089</t>
  </si>
  <si>
    <t>FSECURE OYJ</t>
  </si>
  <si>
    <t>FSC1V FH Equity</t>
  </si>
  <si>
    <t>FI0009801310</t>
  </si>
  <si>
    <t>CREDIT AGRICOLE</t>
  </si>
  <si>
    <t>ACA FP Equity</t>
  </si>
  <si>
    <t>FR0000045072</t>
  </si>
  <si>
    <t>BUREAU VERITAS S</t>
  </si>
  <si>
    <t>BVI FP Equity</t>
  </si>
  <si>
    <t>FR0006174348</t>
  </si>
  <si>
    <t>SHANGRILA ASIA</t>
  </si>
  <si>
    <t>69 HK Equity</t>
  </si>
  <si>
    <t>BMG8063F1068</t>
  </si>
  <si>
    <t>HKD</t>
  </si>
  <si>
    <t>ARCELORMITTAL</t>
  </si>
  <si>
    <t>MT NA Equity</t>
  </si>
  <si>
    <t>LU1598757687</t>
  </si>
  <si>
    <t>HILTON WORLDWIDE</t>
  </si>
  <si>
    <t>HLT US Equity</t>
  </si>
  <si>
    <t>US43300A2033</t>
  </si>
  <si>
    <t>WYNN MACAU LTD</t>
  </si>
  <si>
    <t>1128 HK Equity</t>
  </si>
  <si>
    <t>KYG981491007</t>
  </si>
  <si>
    <t>TELEFONICA</t>
  </si>
  <si>
    <t>TEF SM Equity</t>
  </si>
  <si>
    <t>ES0178430E18</t>
  </si>
  <si>
    <t>FUGRO NV</t>
  </si>
  <si>
    <t>FUR NA Equity</t>
  </si>
  <si>
    <t>NL00150003E1</t>
  </si>
  <si>
    <t>OCI NV</t>
  </si>
  <si>
    <t>OCI NA Equity</t>
  </si>
  <si>
    <t>NL0010558797</t>
  </si>
  <si>
    <t>WEST JAPAN RAILW</t>
  </si>
  <si>
    <t>9021 JP Equity</t>
  </si>
  <si>
    <t>JP3659000008</t>
  </si>
  <si>
    <t>LINDBLAD EXPEDIT</t>
  </si>
  <si>
    <t>LIND US Equity</t>
  </si>
  <si>
    <t>US5352191093</t>
  </si>
  <si>
    <t>M&amp;G PLC</t>
  </si>
  <si>
    <t>MNG LN Equity</t>
  </si>
  <si>
    <t>GB00BKFB1C65</t>
  </si>
  <si>
    <t>IVS GROUP</t>
  </si>
  <si>
    <t>IVS IM Equity</t>
  </si>
  <si>
    <t>LU0556041001</t>
  </si>
  <si>
    <t>KOENIG &amp; BAUER</t>
  </si>
  <si>
    <t>SKB GY Equity</t>
  </si>
  <si>
    <t>DE0007193500</t>
  </si>
  <si>
    <t>WIZZ AIR HOLDING</t>
  </si>
  <si>
    <t>WIZZ LN Equity</t>
  </si>
  <si>
    <t>JE00BN574F90</t>
  </si>
  <si>
    <t>ATLANTIA SPA</t>
  </si>
  <si>
    <t>ATL IM Equity</t>
  </si>
  <si>
    <t>IT0003506190</t>
  </si>
  <si>
    <t>AEGON NV</t>
  </si>
  <si>
    <t>AGN NA Equity</t>
  </si>
  <si>
    <t>NL0000303709</t>
  </si>
  <si>
    <t>ACCOR SA</t>
  </si>
  <si>
    <t>AC FP Equity</t>
  </si>
  <si>
    <t>FR0000120404</t>
  </si>
  <si>
    <t>CARNIVAL CORP</t>
  </si>
  <si>
    <t>CCL US Equity</t>
  </si>
  <si>
    <t>PA1436583006</t>
  </si>
  <si>
    <t>LAS VEGAS SANDS</t>
  </si>
  <si>
    <t>LVS US Equity</t>
  </si>
  <si>
    <t>US5178341070</t>
  </si>
  <si>
    <t>JCDECAUX SA</t>
  </si>
  <si>
    <t>DEC FP Equity</t>
  </si>
  <si>
    <t>FR0000077919</t>
  </si>
  <si>
    <t>BAUER AG</t>
  </si>
  <si>
    <t>B5A GY Equity</t>
  </si>
  <si>
    <t>DE0005168108</t>
  </si>
  <si>
    <t>HYATT HOTELSA</t>
  </si>
  <si>
    <t>H US Equity</t>
  </si>
  <si>
    <t>US4485791028</t>
  </si>
  <si>
    <t>MUENCHENER RUER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</si>
</sst>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b/>
      <u/>
      <color rgb="FF000000"/>
    </font>
    <font>
      <b/>
      <u/>
      <color rgb="FF000000"/>
    </font>
    <font>
      <b/>
      <u/>
      <color rgb="FF000000"/>
      <name val="Arial"/>
      <scheme val="minor"/>
    </font>
    <font>
      <color theme="1"/>
      <name val="Arial"/>
      <scheme val="minor"/>
    </font>
    <font/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8E7CC3"/>
        <bgColor rgb="FF8E7CC3"/>
      </patternFill>
    </fill>
    <fill>
      <patternFill patternType="solid">
        <fgColor rgb="FFD9D2E9"/>
        <bgColor rgb="FFD9D2E9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2" numFmtId="0" xfId="0" applyAlignment="1" applyFont="1">
      <alignment horizontal="center" readingOrder="0" shrinkToFit="0" vertical="center" wrapText="1"/>
    </xf>
    <xf borderId="1" fillId="2" fontId="3" numFmtId="0" xfId="0" applyAlignment="1" applyBorder="1" applyFont="1">
      <alignment horizontal="center" readingOrder="0" shrinkToFit="0" vertical="center" wrapText="1"/>
    </xf>
    <xf borderId="0" fillId="2" fontId="4" numFmtId="0" xfId="0" applyAlignment="1" applyFont="1">
      <alignment horizontal="center" readingOrder="0" shrinkToFit="0" vertical="center" wrapText="1"/>
    </xf>
    <xf borderId="0" fillId="3" fontId="5" numFmtId="0" xfId="0" applyAlignment="1" applyFill="1" applyFont="1">
      <alignment horizontal="center" readingOrder="0" shrinkToFit="0" vertical="center" wrapText="1"/>
    </xf>
    <xf borderId="1" fillId="3" fontId="5" numFmtId="0" xfId="0" applyAlignment="1" applyBorder="1" applyFont="1">
      <alignment horizontal="center" readingOrder="0" shrinkToFit="0" vertical="center" wrapText="1"/>
    </xf>
    <xf borderId="2" fillId="3" fontId="5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shrinkToFit="0" wrapText="1"/>
    </xf>
    <xf borderId="1" fillId="0" fontId="6" numFmtId="0" xfId="0" applyBorder="1" applyFont="1"/>
    <xf borderId="2" fillId="0" fontId="6" numFmtId="0" xfId="0" applyBorder="1" applyFont="1"/>
    <xf borderId="0" fillId="0" fontId="5" numFmtId="0" xfId="0" applyAlignment="1" applyFont="1">
      <alignment readingOrder="0"/>
    </xf>
    <xf borderId="2" fillId="0" fontId="7" numFmtId="0" xfId="0" applyAlignment="1" applyBorder="1" applyFont="1">
      <alignment vertical="bottom"/>
    </xf>
    <xf borderId="1" fillId="0" fontId="5" numFmtId="0" xfId="0" applyAlignment="1" applyBorder="1" applyFont="1">
      <alignment readingOrder="0"/>
    </xf>
    <xf borderId="2" fillId="0" fontId="5" numFmtId="3" xfId="0" applyAlignment="1" applyBorder="1" applyFont="1" applyNumberFormat="1">
      <alignment readingOrder="0"/>
    </xf>
    <xf borderId="0" fillId="0" fontId="5" numFmtId="2" xfId="0" applyAlignment="1" applyFont="1" applyNumberFormat="1">
      <alignment readingOrder="0"/>
    </xf>
    <xf borderId="0" fillId="0" fontId="5" numFmtId="1" xfId="0" applyFont="1" applyNumberFormat="1"/>
    <xf borderId="2" fillId="0" fontId="5" numFmtId="0" xfId="0" applyAlignment="1" applyBorder="1" applyFont="1">
      <alignment readingOrder="0"/>
    </xf>
    <xf borderId="0" fillId="0" fontId="5" numFmtId="0" xfId="0" applyAlignment="1" applyFont="1">
      <alignment horizontal="right" readingOrder="0" shrinkToFit="0" vertical="center" wrapText="1"/>
    </xf>
    <xf borderId="0" fillId="4" fontId="5" numFmtId="0" xfId="0" applyAlignment="1" applyFill="1" applyFont="1">
      <alignment readingOrder="0"/>
    </xf>
    <xf borderId="0" fillId="0" fontId="5" numFmtId="0" xfId="0" applyFont="1"/>
    <xf borderId="0" fillId="5" fontId="5" numFmtId="0" xfId="0" applyAlignment="1" applyFill="1" applyFont="1">
      <alignment readingOrder="0"/>
    </xf>
    <xf borderId="1" fillId="0" fontId="5" numFmtId="0" xfId="0" applyBorder="1" applyFont="1"/>
    <xf borderId="2" fillId="0" fontId="5" numFmtId="3" xfId="0" applyBorder="1" applyFont="1" applyNumberFormat="1"/>
    <xf borderId="0" fillId="0" fontId="5" numFmtId="10" xfId="0" applyFont="1" applyNumberFormat="1"/>
    <xf borderId="2" fillId="0" fontId="5" numFmtId="10" xfId="0" applyBorder="1" applyFont="1" applyNumberFormat="1"/>
    <xf borderId="2" fillId="0" fontId="5" numFmtId="0" xfId="0" applyBorder="1" applyFont="1"/>
    <xf borderId="0" fillId="5" fontId="7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7" numFmtId="2" xfId="0" applyAlignment="1" applyFont="1" applyNumberFormat="1">
      <alignment horizontal="right" vertical="bottom"/>
    </xf>
    <xf borderId="0" fillId="0" fontId="5" numFmtId="1" xfId="0" applyAlignment="1" applyFont="1" applyNumberFormat="1">
      <alignment readingOrder="0"/>
    </xf>
    <xf borderId="0" fillId="0" fontId="5" numFmtId="4" xfId="0" applyAlignment="1" applyFont="1" applyNumberFormat="1">
      <alignment readingOrder="0"/>
    </xf>
    <xf borderId="0" fillId="5" fontId="7" numFmtId="0" xfId="0" applyAlignment="1" applyFont="1">
      <alignment readingOrder="0" vertical="bottom"/>
    </xf>
    <xf borderId="0" fillId="0" fontId="7" numFmtId="2" xfId="0" applyAlignment="1" applyFont="1" applyNumberFormat="1">
      <alignment horizontal="right" shrinkToFit="0" wrapText="1"/>
    </xf>
    <xf borderId="0" fillId="0" fontId="5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www.glassdoor.com.br/member/home/index.htm" TargetMode="External"/><Relationship Id="rId3" Type="http://schemas.openxmlformats.org/officeDocument/2006/relationships/hyperlink" Target="https://www.comparably.com/" TargetMode="External"/><Relationship Id="rId4" Type="http://schemas.openxmlformats.org/officeDocument/2006/relationships/hyperlink" Target="https://www.google.com/finance/" TargetMode="External"/><Relationship Id="rId5" Type="http://schemas.openxmlformats.org/officeDocument/2006/relationships/hyperlink" Target="https://www.unglobalcompact.org/what-is-gc/participants" TargetMode="External"/><Relationship Id="rId6" Type="http://schemas.openxmlformats.org/officeDocument/2006/relationships/drawing" Target="../drawings/drawing1.xml"/><Relationship Id="rId7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/finance/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75"/>
  <cols>
    <col customWidth="1" min="1" max="1" width="18.63"/>
    <col customWidth="1" min="2" max="2" width="17.25"/>
    <col customWidth="1" min="3" max="3" width="13.75"/>
    <col customWidth="1" min="7" max="7" width="14.88"/>
    <col customWidth="1" min="8" max="8" width="15.5"/>
    <col customWidth="1" min="11" max="11" width="14.13"/>
    <col customWidth="1" min="12" max="19" width="12.63"/>
    <col customWidth="1" min="20" max="20" width="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H1" s="3" t="s">
        <v>5</v>
      </c>
      <c r="L1" s="4"/>
      <c r="M1" s="2" t="s">
        <v>6</v>
      </c>
      <c r="R1" s="2" t="s">
        <v>7</v>
      </c>
    </row>
    <row r="2">
      <c r="E2" s="5" t="s">
        <v>8</v>
      </c>
      <c r="F2" s="5" t="s">
        <v>9</v>
      </c>
      <c r="G2" s="5" t="s">
        <v>10</v>
      </c>
      <c r="H2" s="6" t="s">
        <v>11</v>
      </c>
      <c r="I2" s="5" t="s">
        <v>12</v>
      </c>
      <c r="J2" s="5" t="s">
        <v>13</v>
      </c>
      <c r="K2" s="7" t="s">
        <v>14</v>
      </c>
      <c r="L2" s="5" t="s">
        <v>15</v>
      </c>
      <c r="M2" s="5" t="s">
        <v>16</v>
      </c>
      <c r="N2" s="5" t="s">
        <v>17</v>
      </c>
      <c r="O2" s="5" t="s">
        <v>18</v>
      </c>
      <c r="P2" s="5" t="s">
        <v>19</v>
      </c>
      <c r="Q2" s="7" t="s">
        <v>20</v>
      </c>
      <c r="R2" s="5" t="s">
        <v>21</v>
      </c>
      <c r="S2" s="7" t="s">
        <v>22</v>
      </c>
      <c r="T2" s="8"/>
    </row>
    <row r="3" ht="28.5" customHeight="1">
      <c r="H3" s="9"/>
      <c r="K3" s="10"/>
      <c r="Q3" s="10"/>
      <c r="S3" s="10"/>
      <c r="T3" s="8"/>
    </row>
    <row r="4">
      <c r="A4" s="11" t="s">
        <v>23</v>
      </c>
      <c r="B4" s="11" t="s">
        <v>24</v>
      </c>
      <c r="C4" s="11" t="s">
        <v>25</v>
      </c>
      <c r="D4" s="12" t="s">
        <v>26</v>
      </c>
      <c r="E4" s="11">
        <v>4.2</v>
      </c>
      <c r="F4" s="11">
        <v>3.9</v>
      </c>
      <c r="G4" s="11">
        <v>3.7</v>
      </c>
      <c r="H4" s="13">
        <v>4.5</v>
      </c>
      <c r="I4" s="11">
        <v>31.0</v>
      </c>
      <c r="J4" s="11">
        <v>78.0</v>
      </c>
      <c r="K4" s="14">
        <v>76.0</v>
      </c>
      <c r="L4" s="15">
        <f>IFERROR(__xludf.DUMMYFUNCTION("IF($D4=""Euro"",'Data in Local Currency'!E4,
IF($D4=""Dolar"",'Data in Local Currency'!E4*GOOGLEFINANCE(""Currency:USDEUR""),
IF($D4=""Franco Suíço"",'Data in Local Currency'!E4*GOOGLEFINANCE(""Currency:CHFEUR""),
IF($D4=""Libra Esterlina"", 'Data in Loca"&amp;"l Currency'!E4*GOOGLEFINANCE(""Currency:GBPEUR""),
IF($D4=""Iene"",'Data in Local Currency'!E4*GOOGLEFINANCE(""Currency:JPYEUR""),
IF($D4=""HKD"",'Data in Local Currency'!E4*GOOGLEFINANCE(""Currency:HKDEUR""),
IF($D4=""KRW"",'Data in Local Currency'!E4*GO"&amp;"OGLEFINANCE(""Currency:KRWEUR""),"""")))))))"),14.1)</f>
        <v>14.1</v>
      </c>
      <c r="M4" s="16">
        <f>'Data in Local Currency'!F4</f>
        <v>1996</v>
      </c>
      <c r="N4" s="15">
        <f>IFERROR(__xludf.DUMMYFUNCTION("IF($D4=""Euro"",'Data in Local Currency'!G4,
IF($D4=""Dolar"",'Data in Local Currency'!G4*GOOGLEFINANCE(""Currency:USDEUR""),
IF($D4=""Franco Suíço"",'Data in Local Currency'!G4*GOOGLEFINANCE(""Currency:CHFEUR""),
IF($D4=""Libra Esterlina"", 'Data in Loca"&amp;"l Currency'!G4*GOOGLEFINANCE(""Currency:GBPEUR""),
IF($D4=""Iene"",'Data in Local Currency'!G4*GOOGLEFINANCE(""Currency:JPYEUR""),
IF($D4=""HKD"",'Data in Local Currency'!G4*GOOGLEFINANCE(""Currency:HKDEUR""),
IF($D4=""KRW"",'Data in Local Currency'!G4*GO"&amp;"OGLEFINANCE(""Currency:KRWEUR""),"""")))))))"),7.9)</f>
        <v>7.9</v>
      </c>
      <c r="O4" s="15">
        <v>76.67</v>
      </c>
      <c r="P4" s="11">
        <v>111.24</v>
      </c>
      <c r="Q4" s="17">
        <v>19.94</v>
      </c>
      <c r="R4" s="11" t="s">
        <v>27</v>
      </c>
      <c r="S4" s="17">
        <v>3.0</v>
      </c>
    </row>
    <row r="5">
      <c r="A5" s="11" t="s">
        <v>28</v>
      </c>
      <c r="B5" s="11" t="s">
        <v>29</v>
      </c>
      <c r="C5" s="11" t="s">
        <v>30</v>
      </c>
      <c r="D5" s="12" t="s">
        <v>31</v>
      </c>
      <c r="E5" s="11">
        <v>4.0</v>
      </c>
      <c r="F5" s="11">
        <v>4.0</v>
      </c>
      <c r="G5" s="11">
        <v>3.5</v>
      </c>
      <c r="H5" s="13">
        <v>4.0</v>
      </c>
      <c r="I5" s="11">
        <v>19.0</v>
      </c>
      <c r="J5" s="11">
        <v>68.0</v>
      </c>
      <c r="K5" s="14">
        <v>71.0</v>
      </c>
      <c r="L5" s="15">
        <f>IFERROR(__xludf.DUMMYFUNCTION("IF($D5=""Euro"",'Data in Local Currency'!E5,
IF($D5=""Dolar"",'Data in Local Currency'!E5*GOOGLEFINANCE(""Currency:USDEUR""),
IF($D5=""Franco Suíço"",'Data in Local Currency'!E5*GOOGLEFINANCE(""Currency:CHFEUR""),
IF($D5=""Libra Esterlina"", 'Data in Loca"&amp;"l Currency'!E5*GOOGLEFINANCE(""Currency:GBPEUR""),
IF($D5=""Iene"",'Data in Local Currency'!E5*GOOGLEFINANCE(""Currency:JPYEUR""),
IF($D5=""HKD"",'Data in Local Currency'!E5*GOOGLEFINANCE(""Currency:HKDEUR""),
IF($D5=""KRW"",'Data in Local Currency'!E5*GO"&amp;"OGLEFINANCE(""Currency:KRWEUR""),"""")))))))"),1.0945619999999998)</f>
        <v>1.094562</v>
      </c>
      <c r="M5" s="16">
        <f>'Data in Local Currency'!F5</f>
        <v>1982</v>
      </c>
      <c r="N5" s="15">
        <f>IFERROR(__xludf.DUMMYFUNCTION("IF($D5=""Euro"",'Data in Local Currency'!G5,
IF($D5=""Dolar"",'Data in Local Currency'!G5*GOOGLEFINANCE(""Currency:USDEUR""),
IF($D5=""Franco Suíço"",'Data in Local Currency'!G5*GOOGLEFINANCE(""Currency:CHFEUR""),
IF($D5=""Libra Esterlina"", 'Data in Loca"&amp;"l Currency'!G5*GOOGLEFINANCE(""Currency:GBPEUR""),
IF($D5=""Iene"",'Data in Local Currency'!G5*GOOGLEFINANCE(""Currency:JPYEUR""),
IF($D5=""HKD"",'Data in Local Currency'!G5*GOOGLEFINANCE(""Currency:HKDEUR""),
IF($D5=""KRW"",'Data in Local Currency'!G5*GO"&amp;"OGLEFINANCE(""Currency:KRWEUR""),"""")))))))"),104.296122)</f>
        <v>104.296122</v>
      </c>
      <c r="O5" s="15">
        <v>125.05</v>
      </c>
      <c r="P5" s="11">
        <v>61.37</v>
      </c>
      <c r="Q5" s="17">
        <v>8.06</v>
      </c>
      <c r="R5" s="11" t="s">
        <v>32</v>
      </c>
      <c r="S5" s="17"/>
    </row>
    <row r="6">
      <c r="A6" s="11" t="s">
        <v>33</v>
      </c>
      <c r="B6" s="11" t="s">
        <v>34</v>
      </c>
      <c r="C6" s="11" t="s">
        <v>35</v>
      </c>
      <c r="D6" s="12" t="s">
        <v>31</v>
      </c>
      <c r="E6" s="11">
        <v>4.2</v>
      </c>
      <c r="F6" s="18">
        <v>4.4</v>
      </c>
      <c r="G6" s="11">
        <v>3.9</v>
      </c>
      <c r="H6" s="13">
        <v>4.7</v>
      </c>
      <c r="I6" s="11">
        <v>36.0</v>
      </c>
      <c r="J6" s="11">
        <v>85.0</v>
      </c>
      <c r="K6" s="14">
        <v>79.0</v>
      </c>
      <c r="L6" s="15">
        <f>IFERROR(__xludf.DUMMYFUNCTION("IF($D6=""Euro"",'Data in Local Currency'!E6,
IF($D6=""Dolar"",'Data in Local Currency'!E6*GOOGLEFINANCE(""Currency:USDEUR""),
IF($D6=""Franco Suíço"",'Data in Local Currency'!E6*GOOGLEFINANCE(""Currency:CHFEUR""),
IF($D6=""Libra Esterlina"", 'Data in Loca"&amp;"l Currency'!E6*GOOGLEFINANCE(""Currency:GBPEUR""),
IF($D6=""Iene"",'Data in Local Currency'!E6*GOOGLEFINANCE(""Currency:JPYEUR""),
IF($D6=""HKD"",'Data in Local Currency'!E6*GOOGLEFINANCE(""Currency:HKDEUR""),
IF($D6=""KRW"",'Data in Local Currency'!E6*GO"&amp;"OGLEFINANCE(""Currency:KRWEUR""),"""")))))))"),16.841537999999996)</f>
        <v>16.841538</v>
      </c>
      <c r="M6" s="16">
        <f>'Data in Local Currency'!F6</f>
        <v>1998</v>
      </c>
      <c r="N6" s="15">
        <f>IFERROR(__xludf.DUMMYFUNCTION("IF($D6=""Euro"",'Data in Local Currency'!G6,
IF($D6=""Dolar"",'Data in Local Currency'!G6*GOOGLEFINANCE(""Currency:USDEUR""),
IF($D6=""Franco Suíço"",'Data in Local Currency'!G6*GOOGLEFINANCE(""Currency:CHFEUR""),
IF($D6=""Libra Esterlina"", 'Data in Loca"&amp;"l Currency'!G6*GOOGLEFINANCE(""Currency:GBPEUR""),
IF($D6=""Iene"",'Data in Local Currency'!G6*GOOGLEFINANCE(""Currency:JPYEUR""),
IF($D6=""HKD"",'Data in Local Currency'!G6*GOOGLEFINANCE(""Currency:HKDEUR""),
IF($D6=""KRW"",'Data in Local Currency'!G6*GO"&amp;"OGLEFINANCE(""Currency:KRWEUR""),"""")))))))"),110.26562399999999)</f>
        <v>110.265624</v>
      </c>
      <c r="O6" s="15">
        <v>292.78</v>
      </c>
      <c r="P6" s="11">
        <v>46.02</v>
      </c>
      <c r="Q6" s="17">
        <v>8.76</v>
      </c>
      <c r="R6" s="19" t="s">
        <v>32</v>
      </c>
      <c r="S6" s="17"/>
    </row>
    <row r="7">
      <c r="A7" s="11" t="s">
        <v>36</v>
      </c>
      <c r="B7" s="11" t="s">
        <v>37</v>
      </c>
      <c r="C7" s="11" t="s">
        <v>38</v>
      </c>
      <c r="D7" s="12" t="s">
        <v>31</v>
      </c>
      <c r="E7" s="11">
        <v>3.5</v>
      </c>
      <c r="F7" s="18">
        <v>3.2</v>
      </c>
      <c r="G7" s="11">
        <v>3.2</v>
      </c>
      <c r="H7" s="13">
        <v>3.3</v>
      </c>
      <c r="I7" s="11">
        <v>13.0</v>
      </c>
      <c r="J7" s="11">
        <v>65.0</v>
      </c>
      <c r="K7" s="14">
        <v>64.0</v>
      </c>
      <c r="L7" s="15">
        <f>IFERROR(__xludf.DUMMYFUNCTION("IF($D7=""Euro"",'Data in Local Currency'!E7,
IF($D7=""Dolar"",'Data in Local Currency'!E7*GOOGLEFINANCE(""Currency:USDEUR""),
IF($D7=""Franco Suíço"",'Data in Local Currency'!E7*GOOGLEFINANCE(""Currency:CHFEUR""),
IF($D7=""Libra Esterlina"", 'Data in Loca"&amp;"l Currency'!E7*GOOGLEFINANCE(""Currency:GBPEUR""),
IF($D7=""Iene"",'Data in Local Currency'!E7*GOOGLEFINANCE(""Currency:JPYEUR""),
IF($D7=""HKD"",'Data in Local Currency'!E7*GOOGLEFINANCE(""Currency:HKDEUR""),
IF($D7=""KRW"",'Data in Local Currency'!E7*GO"&amp;"OGLEFINANCE(""Currency:KRWEUR""),"""")))))))"),0.745038)</f>
        <v>0.745038</v>
      </c>
      <c r="M7" s="16">
        <f>'Data in Local Currency'!F7</f>
        <v>1982</v>
      </c>
      <c r="N7" s="15">
        <f>IFERROR(__xludf.DUMMYFUNCTION("IF($D7=""Euro"",'Data in Local Currency'!G7,
IF($D7=""Dolar"",'Data in Local Currency'!G7*GOOGLEFINANCE(""Currency:USDEUR""),
IF($D7=""Franco Suíço"",'Data in Local Currency'!G7*GOOGLEFINANCE(""Currency:CHFEUR""),
IF($D7=""Libra Esterlina"", 'Data in Loca"&amp;"l Currency'!G7*GOOGLEFINANCE(""Currency:GBPEUR""),
IF($D7=""Iene"",'Data in Local Currency'!G7*GOOGLEFINANCE(""Currency:JPYEUR""),
IF($D7=""HKD"",'Data in Local Currency'!G7*GOOGLEFINANCE(""Currency:HKDEUR""),
IF($D7=""KRW"",'Data in Local Currency'!G7*GO"&amp;"OGLEFINANCE(""Currency:KRWEUR""),"""")))))))"),119.21527800000001)</f>
        <v>119.215278</v>
      </c>
      <c r="O7" s="15">
        <v>212.28</v>
      </c>
      <c r="P7" s="11">
        <v>21.15</v>
      </c>
      <c r="Q7" s="17">
        <v>10.6</v>
      </c>
      <c r="R7" s="11" t="s">
        <v>32</v>
      </c>
      <c r="S7" s="17"/>
    </row>
    <row r="8">
      <c r="A8" s="11" t="s">
        <v>39</v>
      </c>
      <c r="B8" s="11" t="s">
        <v>40</v>
      </c>
      <c r="C8" s="11" t="s">
        <v>41</v>
      </c>
      <c r="D8" s="12" t="s">
        <v>31</v>
      </c>
      <c r="E8" s="11">
        <v>3.8</v>
      </c>
      <c r="F8" s="11">
        <v>3.4</v>
      </c>
      <c r="G8" s="11">
        <v>3.2</v>
      </c>
      <c r="H8" s="13" t="s">
        <v>42</v>
      </c>
      <c r="I8" s="11" t="s">
        <v>42</v>
      </c>
      <c r="J8" s="11" t="s">
        <v>42</v>
      </c>
      <c r="K8" s="14" t="s">
        <v>42</v>
      </c>
      <c r="L8" s="15">
        <f>IFERROR(__xludf.DUMMYFUNCTION("IF($D8=""Euro"",'Data in Local Currency'!E8,
IF($D8=""Dolar"",'Data in Local Currency'!E8*GOOGLEFINANCE(""Currency:USDEUR""),
IF($D8=""Franco Suíço"",'Data in Local Currency'!E8*GOOGLEFINANCE(""Currency:CHFEUR""),
IF($D8=""Libra Esterlina"", 'Data in Loca"&amp;"l Currency'!E8*GOOGLEFINANCE(""Currency:GBPEUR""),
IF($D8=""Iene"",'Data in Local Currency'!E8*GOOGLEFINANCE(""Currency:JPYEUR""),
IF($D8=""HKD"",'Data in Local Currency'!E8*GOOGLEFINANCE(""Currency:HKDEUR""),
IF($D8=""KRW"",'Data in Local Currency'!E8*GO"&amp;"OGLEFINANCE(""Currency:KRWEUR""),"""")))))))"),2.94336)</f>
        <v>2.94336</v>
      </c>
      <c r="M8" s="20">
        <f>'Data in Local Currency'!F8</f>
        <v>2001</v>
      </c>
      <c r="N8" s="15">
        <f>IFERROR(__xludf.DUMMYFUNCTION("IF($D8=""Euro"",'Data in Local Currency'!G8,
IF($D8=""Dolar"",'Data in Local Currency'!G8*GOOGLEFINANCE(""Currency:USDEUR""),
IF($D8=""Franco Suíço"",'Data in Local Currency'!G8*GOOGLEFINANCE(""Currency:CHFEUR""),
IF($D8=""Libra Esterlina"", 'Data in Loca"&amp;"l Currency'!G8*GOOGLEFINANCE(""Currency:GBPEUR""),
IF($D8=""Iene"",'Data in Local Currency'!G8*GOOGLEFINANCE(""Currency:JPYEUR""),
IF($D8=""HKD"",'Data in Local Currency'!G8*GOOGLEFINANCE(""Currency:HKDEUR""),
IF($D8=""KRW"",'Data in Local Currency'!G8*GO"&amp;"OGLEFINANCE(""Currency:KRWEUR""),"""")))))))"),37.02195)</f>
        <v>37.02195</v>
      </c>
      <c r="O8" s="15">
        <v>30.7609</v>
      </c>
      <c r="P8" s="11">
        <v>87.39</v>
      </c>
      <c r="Q8" s="17">
        <v>8.5</v>
      </c>
      <c r="R8" s="11" t="s">
        <v>27</v>
      </c>
      <c r="S8" s="17">
        <v>0.0</v>
      </c>
    </row>
    <row r="9">
      <c r="A9" s="11" t="s">
        <v>43</v>
      </c>
      <c r="B9" s="11" t="s">
        <v>44</v>
      </c>
      <c r="C9" s="11" t="s">
        <v>45</v>
      </c>
      <c r="D9" s="12" t="s">
        <v>31</v>
      </c>
      <c r="E9" s="11">
        <v>4.0</v>
      </c>
      <c r="F9" s="11">
        <v>3.9</v>
      </c>
      <c r="G9" s="11">
        <v>3.5</v>
      </c>
      <c r="H9" s="13">
        <v>2.9</v>
      </c>
      <c r="I9" s="11">
        <v>4.0</v>
      </c>
      <c r="J9" s="11">
        <v>61.0</v>
      </c>
      <c r="K9" s="14">
        <v>64.0</v>
      </c>
      <c r="L9" s="15">
        <f>IFERROR(__xludf.DUMMYFUNCTION("IF($D9=""Euro"",'Data in Local Currency'!E9,
IF($D9=""Dolar"",'Data in Local Currency'!E9*GOOGLEFINANCE(""Currency:USDEUR""),
IF($D9=""Franco Suíço"",'Data in Local Currency'!E9*GOOGLEFINANCE(""Currency:CHFEUR""),
IF($D9=""Libra Esterlina"", 'Data in Loca"&amp;"l Currency'!E9*GOOGLEFINANCE(""Currency:GBPEUR""),
IF($D9=""Iene"",'Data in Local Currency'!E9*GOOGLEFINANCE(""Currency:JPYEUR""),
IF($D9=""HKD"",'Data in Local Currency'!E9*GOOGLEFINANCE(""Currency:HKDEUR""),
IF($D9=""KRW"",'Data in Local Currency'!E9*GO"&amp;"OGLEFINANCE(""Currency:KRWEUR""),"""")))))))"),5.546394)</f>
        <v>5.546394</v>
      </c>
      <c r="M9" s="16">
        <f>'Data in Local Currency'!F9</f>
        <v>1982</v>
      </c>
      <c r="N9" s="15">
        <f>IFERROR(__xludf.DUMMYFUNCTION("IF($D9=""Euro"",'Data in Local Currency'!G9,
IF($D9=""Dolar"",'Data in Local Currency'!G9*GOOGLEFINANCE(""Currency:USDEUR""),
IF($D9=""Franco Suíço"",'Data in Local Currency'!G9*GOOGLEFINANCE(""Currency:CHFEUR""),
IF($D9=""Libra Esterlina"", 'Data in Loca"&amp;"l Currency'!G9*GOOGLEFINANCE(""Currency:GBPEUR""),
IF($D9=""Iene"",'Data in Local Currency'!G9*GOOGLEFINANCE(""Currency:JPYEUR""),
IF($D9=""HKD"",'Data in Local Currency'!G9*GOOGLEFINANCE(""Currency:HKDEUR""),
IF($D9=""KRW"",'Data in Local Currency'!G9*GO"&amp;"OGLEFINANCE(""Currency:KRWEUR""),"""")))))))"),85.320648)</f>
        <v>85.320648</v>
      </c>
      <c r="O9" s="15">
        <v>201.77</v>
      </c>
      <c r="P9" s="11">
        <v>46.43</v>
      </c>
      <c r="Q9" s="17">
        <v>8.49</v>
      </c>
      <c r="R9" s="11" t="s">
        <v>32</v>
      </c>
      <c r="S9" s="17"/>
    </row>
    <row r="10">
      <c r="A10" s="11" t="s">
        <v>46</v>
      </c>
      <c r="B10" s="11" t="s">
        <v>47</v>
      </c>
      <c r="C10" s="11" t="s">
        <v>48</v>
      </c>
      <c r="D10" s="12" t="s">
        <v>31</v>
      </c>
      <c r="E10" s="11">
        <v>4.0</v>
      </c>
      <c r="F10" s="11">
        <v>3.6</v>
      </c>
      <c r="G10" s="11">
        <v>3.6</v>
      </c>
      <c r="H10" s="13">
        <v>4.3</v>
      </c>
      <c r="I10" s="11">
        <v>33.0</v>
      </c>
      <c r="J10" s="11">
        <v>80.0</v>
      </c>
      <c r="K10" s="14">
        <v>57.0</v>
      </c>
      <c r="L10" s="15">
        <f>IFERROR(__xludf.DUMMYFUNCTION("IF($D10=""Euro"",'Data in Local Currency'!E10,
IF($D10=""Dolar"",'Data in Local Currency'!E10*GOOGLEFINANCE(""Currency:USDEUR""),
IF($D10=""Franco Suíço"",'Data in Local Currency'!E10*GOOGLEFINANCE(""Currency:CHFEUR""),
IF($D10=""Libra Esterlina"", 'Data "&amp;"in Local Currency'!E10*GOOGLEFINANCE(""Currency:GBPEUR""),
IF($D10=""Iene"",'Data in Local Currency'!E10*GOOGLEFINANCE(""Currency:JPYEUR""),
IF($D10=""HKD"",'Data in Local Currency'!E10*GOOGLEFINANCE(""Currency:HKDEUR""),
IF($D10=""KRW"",'Data in Local Cu"&amp;"rrency'!E10*GOOGLEFINANCE(""Currency:KRWEUR""),"""")))))))"),78.99242399999999)</f>
        <v>78.992424</v>
      </c>
      <c r="M10" s="20">
        <f>'Data in Local Currency'!F10</f>
        <v>2014</v>
      </c>
      <c r="N10" s="15">
        <f>IFERROR(__xludf.DUMMYFUNCTION("IF($D10=""Euro"",'Data in Local Currency'!G10,
IF($D10=""Dolar"",'Data in Local Currency'!G10*GOOGLEFINANCE(""Currency:USDEUR""),
IF($D10=""Franco Suíço"",'Data in Local Currency'!G10*GOOGLEFINANCE(""Currency:CHFEUR""),
IF($D10=""Libra Esterlina"", 'Data "&amp;"in Local Currency'!G10*GOOGLEFINANCE(""Currency:GBPEUR""),
IF($D10=""Iene"",'Data in Local Currency'!G10*GOOGLEFINANCE(""Currency:JPYEUR""),
IF($D10=""HKD"",'Data in Local Currency'!G10*GOOGLEFINANCE(""Currency:HKDEUR""),
IF($D10=""KRW"",'Data in Local Cu"&amp;"rrency'!G10*GOOGLEFINANCE(""Currency:KRWEUR""),"""")))))))"),99.18203399999999)</f>
        <v>99.182034</v>
      </c>
      <c r="O10" s="15">
        <v>93.39</v>
      </c>
      <c r="P10" s="11">
        <v>102.51</v>
      </c>
      <c r="Q10" s="17">
        <v>28.13</v>
      </c>
      <c r="R10" s="11" t="s">
        <v>27</v>
      </c>
      <c r="S10" s="17">
        <v>2.0</v>
      </c>
    </row>
    <row r="11">
      <c r="A11" s="11" t="s">
        <v>49</v>
      </c>
      <c r="B11" s="11" t="s">
        <v>50</v>
      </c>
      <c r="C11" s="11" t="s">
        <v>51</v>
      </c>
      <c r="D11" s="12" t="s">
        <v>31</v>
      </c>
      <c r="E11" s="11">
        <v>3.8</v>
      </c>
      <c r="F11" s="11">
        <v>3.8</v>
      </c>
      <c r="G11" s="11">
        <v>3.3</v>
      </c>
      <c r="H11" s="13">
        <v>4.5</v>
      </c>
      <c r="I11" s="11">
        <v>15.0</v>
      </c>
      <c r="J11" s="11">
        <v>71.0</v>
      </c>
      <c r="K11" s="14">
        <v>72.0</v>
      </c>
      <c r="L11" s="15">
        <f>IFERROR(__xludf.DUMMYFUNCTION("IF($D11=""Euro"",'Data in Local Currency'!E11,
IF($D11=""Dolar"",'Data in Local Currency'!E11*GOOGLEFINANCE(""Currency:USDEUR""),
IF($D11=""Franco Suíço"",'Data in Local Currency'!E11*GOOGLEFINANCE(""Currency:CHFEUR""),
IF($D11=""Libra Esterlina"", 'Data "&amp;"in Local Currency'!E11*GOOGLEFINANCE(""Currency:GBPEUR""),
IF($D11=""Iene"",'Data in Local Currency'!E11*GOOGLEFINANCE(""Currency:JPYEUR""),
IF($D11=""HKD"",'Data in Local Currency'!E11*GOOGLEFINANCE(""Currency:HKDEUR""),
IF($D11=""KRW"",'Data in Local Cu"&amp;"rrency'!E11*GOOGLEFINANCE(""Currency:KRWEUR""),"""")))))))"),0.294336)</f>
        <v>0.294336</v>
      </c>
      <c r="M11" s="20">
        <f>'Data in Local Currency'!F11</f>
        <v>1992</v>
      </c>
      <c r="N11" s="15">
        <f>IFERROR(__xludf.DUMMYFUNCTION("IF($D11=""Euro"",'Data in Local Currency'!G11,
IF($D11=""Dolar"",'Data in Local Currency'!G11*GOOGLEFINANCE(""Currency:USDEUR""),
IF($D11=""Franco Suíço"",'Data in Local Currency'!G11*GOOGLEFINANCE(""Currency:CHFEUR""),
IF($D11=""Libra Esterlina"", 'Data "&amp;"in Local Currency'!G11*GOOGLEFINANCE(""Currency:GBPEUR""),
IF($D11=""Iene"",'Data in Local Currency'!G11*GOOGLEFINANCE(""Currency:JPYEUR""),
IF($D11=""HKD"",'Data in Local Currency'!G11*GOOGLEFINANCE(""Currency:HKDEUR""),
IF($D11=""KRW"",'Data in Local Cu"&amp;"rrency'!G11*GOOGLEFINANCE(""Currency:KRWEUR""),"""")))))))"),55.243187999999996)</f>
        <v>55.243188</v>
      </c>
      <c r="O11" s="15">
        <v>78.35</v>
      </c>
      <c r="P11" s="11">
        <v>26.47</v>
      </c>
      <c r="Q11" s="17">
        <v>6.78</v>
      </c>
      <c r="R11" s="11" t="s">
        <v>27</v>
      </c>
      <c r="S11" s="17">
        <v>4.0</v>
      </c>
    </row>
    <row r="12">
      <c r="A12" s="11" t="s">
        <v>52</v>
      </c>
      <c r="B12" s="11" t="s">
        <v>53</v>
      </c>
      <c r="C12" s="11" t="s">
        <v>54</v>
      </c>
      <c r="D12" s="12" t="s">
        <v>26</v>
      </c>
      <c r="E12" s="11">
        <v>3.4</v>
      </c>
      <c r="F12" s="11">
        <v>3.4</v>
      </c>
      <c r="G12" s="11">
        <v>2.7</v>
      </c>
      <c r="H12" s="13" t="s">
        <v>42</v>
      </c>
      <c r="I12" s="11" t="s">
        <v>42</v>
      </c>
      <c r="J12" s="11" t="s">
        <v>42</v>
      </c>
      <c r="K12" s="14" t="s">
        <v>42</v>
      </c>
      <c r="L12" s="15">
        <f>IFERROR(__xludf.DUMMYFUNCTION("IF($D12=""Euro"",'Data in Local Currency'!E12,
IF($D12=""Dolar"",'Data in Local Currency'!E12*GOOGLEFINANCE(""Currency:USDEUR""),
IF($D12=""Franco Suíço"",'Data in Local Currency'!E12*GOOGLEFINANCE(""Currency:CHFEUR""),
IF($D12=""Libra Esterlina"", 'Data "&amp;"in Local Currency'!E12*GOOGLEFINANCE(""Currency:GBPEUR""),
IF($D12=""Iene"",'Data in Local Currency'!E12*GOOGLEFINANCE(""Currency:JPYEUR""),
IF($D12=""HKD"",'Data in Local Currency'!E12*GOOGLEFINANCE(""Currency:HKDEUR""),
IF($D12=""KRW"",'Data in Local Cu"&amp;"rrency'!E12*GOOGLEFINANCE(""Currency:KRWEUR""),"""")))))))"),4.6)</f>
        <v>4.6</v>
      </c>
      <c r="M12" s="20">
        <f>'Data in Local Currency'!F12</f>
        <v>2000</v>
      </c>
      <c r="N12" s="15">
        <f>IFERROR(__xludf.DUMMYFUNCTION("IF($D12=""Euro"",'Data in Local Currency'!G12,
IF($D12=""Dolar"",'Data in Local Currency'!G12*GOOGLEFINANCE(""Currency:USDEUR""),
IF($D12=""Franco Suíço"",'Data in Local Currency'!G12*GOOGLEFINANCE(""Currency:CHFEUR""),
IF($D12=""Libra Esterlina"", 'Data "&amp;"in Local Currency'!G12*GOOGLEFINANCE(""Currency:GBPEUR""),
IF($D12=""Iene"",'Data in Local Currency'!G12*GOOGLEFINANCE(""Currency:JPYEUR""),
IF($D12=""HKD"",'Data in Local Currency'!G12*GOOGLEFINANCE(""Currency:HKDEUR""),
IF($D12=""KRW"",'Data in Local Cu"&amp;"rrency'!G12*GOOGLEFINANCE(""Currency:KRWEUR""),"""")))))))"),44.34)</f>
        <v>44.34</v>
      </c>
      <c r="O12" s="15">
        <v>64.8</v>
      </c>
      <c r="P12" s="11">
        <v>1.08</v>
      </c>
      <c r="Q12" s="17">
        <v>0.23</v>
      </c>
      <c r="R12" s="11" t="s">
        <v>32</v>
      </c>
      <c r="S12" s="17"/>
    </row>
    <row r="13">
      <c r="A13" s="19" t="s">
        <v>55</v>
      </c>
      <c r="B13" s="19" t="s">
        <v>56</v>
      </c>
      <c r="C13" s="19" t="s">
        <v>57</v>
      </c>
      <c r="D13" s="12" t="s">
        <v>26</v>
      </c>
      <c r="E13" s="11">
        <v>4.1</v>
      </c>
      <c r="F13" s="11">
        <v>4.1</v>
      </c>
      <c r="G13" s="11">
        <v>3.6</v>
      </c>
      <c r="H13" s="13">
        <v>3.7</v>
      </c>
      <c r="I13" s="11">
        <v>19.0</v>
      </c>
      <c r="J13" s="11">
        <v>73.0</v>
      </c>
      <c r="K13" s="14">
        <v>67.0</v>
      </c>
      <c r="L13" s="15">
        <f>IFERROR(__xludf.DUMMYFUNCTION("IF($D13=""Euro"",'Data in Local Currency'!E13,
IF($D13=""Dolar"",'Data in Local Currency'!E13*GOOGLEFINANCE(""Currency:USDEUR""),
IF($D13=""Franco Suíço"",'Data in Local Currency'!E13*GOOGLEFINANCE(""Currency:CHFEUR""),
IF($D13=""Libra Esterlina"", 'Data "&amp;"in Local Currency'!E13*GOOGLEFINANCE(""Currency:GBPEUR""),
IF($D13=""Iene"",'Data in Local Currency'!E13*GOOGLEFINANCE(""Currency:JPYEUR""),
IF($D13=""HKD"",'Data in Local Currency'!E13*GOOGLEFINANCE(""Currency:HKDEUR""),
IF($D13=""KRW"",'Data in Local Cu"&amp;"rrency'!E13*GOOGLEFINANCE(""Currency:KRWEUR""),"""")))))))"),26.44)</f>
        <v>26.44</v>
      </c>
      <c r="M13" s="20">
        <f>'Data in Local Currency'!F13</f>
        <v>2005</v>
      </c>
      <c r="N13" s="15">
        <f>IFERROR(__xludf.DUMMYFUNCTION("IF($D13=""Euro"",'Data in Local Currency'!G13,
IF($D13=""Dolar"",'Data in Local Currency'!G13*GOOGLEFINANCE(""Currency:USDEUR""),
IF($D13=""Franco Suíço"",'Data in Local Currency'!G13*GOOGLEFINANCE(""Currency:CHFEUR""),
IF($D13=""Libra Esterlina"", 'Data "&amp;"in Local Currency'!G13*GOOGLEFINANCE(""Currency:GBPEUR""),
IF($D13=""Iene"",'Data in Local Currency'!G13*GOOGLEFINANCE(""Currency:JPYEUR""),
IF($D13=""HKD"",'Data in Local Currency'!G13*GOOGLEFINANCE(""Currency:HKDEUR""),
IF($D13=""KRW"",'Data in Local Cu"&amp;"rrency'!G13*GOOGLEFINANCE(""Currency:KRWEUR""),"""")))))))"),23.88)</f>
        <v>23.88</v>
      </c>
      <c r="O13" s="15">
        <v>24.14</v>
      </c>
      <c r="P13" s="11">
        <v>238.15</v>
      </c>
      <c r="Q13" s="17">
        <v>28.9</v>
      </c>
      <c r="R13" s="11" t="s">
        <v>27</v>
      </c>
      <c r="S13" s="17">
        <v>2.0</v>
      </c>
    </row>
    <row r="14">
      <c r="A14" s="11" t="s">
        <v>58</v>
      </c>
      <c r="B14" s="11" t="s">
        <v>59</v>
      </c>
      <c r="C14" s="11" t="s">
        <v>60</v>
      </c>
      <c r="D14" s="12" t="s">
        <v>61</v>
      </c>
      <c r="E14" s="11">
        <v>3.7</v>
      </c>
      <c r="F14" s="11">
        <v>3.4</v>
      </c>
      <c r="G14" s="11">
        <v>3.1</v>
      </c>
      <c r="H14" s="13">
        <v>4.1</v>
      </c>
      <c r="I14" s="11">
        <v>25.0</v>
      </c>
      <c r="J14" s="11">
        <v>63.0</v>
      </c>
      <c r="K14" s="14">
        <v>69.0</v>
      </c>
      <c r="L14" s="15">
        <f>IFERROR(__xludf.DUMMYFUNCTION("IF($D14=""Euro"",'Data in Local Currency'!E14,
IF($D14=""Dolar"",'Data in Local Currency'!E14*GOOGLEFINANCE(""Currency:USDEUR""),
IF($D14=""Franco Suíço"",'Data in Local Currency'!E14*GOOGLEFINANCE(""Currency:CHFEUR""),
IF($D14=""Libra Esterlina"", 'Data "&amp;"in Local Currency'!E14*GOOGLEFINANCE(""Currency:GBPEUR""),
IF($D14=""Iene"",'Data in Local Currency'!E14*GOOGLEFINANCE(""Currency:JPYEUR""),
IF($D14=""HKD"",'Data in Local Currency'!E14*GOOGLEFINANCE(""Currency:HKDEUR""),
IF($D14=""KRW"",'Data in Local Cu"&amp;"rrency'!E14*GOOGLEFINANCE(""Currency:KRWEUR""),"""")))))))"),29.446945343999996)</f>
        <v>29.44694534</v>
      </c>
      <c r="M14" s="20">
        <f>'Data in Local Currency'!F14</f>
        <v>2001</v>
      </c>
      <c r="N14" s="15">
        <f>IFERROR(__xludf.DUMMYFUNCTION("IF($D14=""Euro"",'Data in Local Currency'!G14,
IF($D14=""Dolar"",'Data in Local Currency'!G14*GOOGLEFINANCE(""Currency:USDEUR""),
IF($D14=""Franco Suíço"",'Data in Local Currency'!G14*GOOGLEFINANCE(""Currency:CHFEUR""),
IF($D14=""Libra Esterlina"", 'Data "&amp;"in Local Currency'!G14*GOOGLEFINANCE(""Currency:GBPEUR""),
IF($D14=""Iene"",'Data in Local Currency'!G14*GOOGLEFINANCE(""Currency:JPYEUR""),
IF($D14=""HKD"",'Data in Local Currency'!G14*GOOGLEFINANCE(""Currency:HKDEUR""),
IF($D14=""KRW"",'Data in Local Cu"&amp;"rrency'!G14*GOOGLEFINANCE(""Currency:KRWEUR""),"""")))))))"),55.52683775999999)</f>
        <v>55.52683776</v>
      </c>
      <c r="O14" s="15">
        <v>44.73</v>
      </c>
      <c r="P14" s="11">
        <v>26.12</v>
      </c>
      <c r="Q14" s="17">
        <v>6.25</v>
      </c>
      <c r="R14" s="11" t="s">
        <v>27</v>
      </c>
      <c r="S14" s="17">
        <v>8.0</v>
      </c>
    </row>
    <row r="15">
      <c r="A15" s="11" t="s">
        <v>62</v>
      </c>
      <c r="B15" s="11" t="s">
        <v>63</v>
      </c>
      <c r="C15" s="11" t="s">
        <v>64</v>
      </c>
      <c r="D15" s="12" t="s">
        <v>26</v>
      </c>
      <c r="E15" s="11">
        <v>4.1</v>
      </c>
      <c r="F15" s="11">
        <v>4.2</v>
      </c>
      <c r="G15" s="11">
        <v>3.8</v>
      </c>
      <c r="H15" s="13">
        <v>4.5</v>
      </c>
      <c r="I15" s="11">
        <v>35.0</v>
      </c>
      <c r="J15" s="11">
        <v>78.0</v>
      </c>
      <c r="K15" s="14">
        <v>72.0</v>
      </c>
      <c r="L15" s="15">
        <f>IFERROR(__xludf.DUMMYFUNCTION("IF($D15=""Euro"",'Data in Local Currency'!E15,
IF($D15=""Dolar"",'Data in Local Currency'!E15*GOOGLEFINANCE(""Currency:USDEUR""),
IF($D15=""Franco Suíço"",'Data in Local Currency'!E15*GOOGLEFINANCE(""Currency:CHFEUR""),
IF($D15=""Libra Esterlina"", 'Data "&amp;"in Local Currency'!E15*GOOGLEFINANCE(""Currency:GBPEUR""),
IF($D15=""Iene"",'Data in Local Currency'!E15*GOOGLEFINANCE(""Currency:JPYEUR""),
IF($D15=""HKD"",'Data in Local Currency'!E15*GOOGLEFINANCE(""Currency:HKDEUR""),
IF($D15=""KRW"",'Data in Local Cu"&amp;"rrency'!E15*GOOGLEFINANCE(""Currency:KRWEUR""),"""")))))))"),31.34)</f>
        <v>31.34</v>
      </c>
      <c r="M15" s="20">
        <f>'Data in Local Currency'!F15</f>
        <v>2000</v>
      </c>
      <c r="N15" s="15">
        <f>IFERROR(__xludf.DUMMYFUNCTION("IF($D15=""Euro"",'Data in Local Currency'!G15,
IF($D15=""Dolar"",'Data in Local Currency'!G15*GOOGLEFINANCE(""Currency:USDEUR""),
IF($D15=""Franco Suíço"",'Data in Local Currency'!G15*GOOGLEFINANCE(""Currency:CHFEUR""),
IF($D15=""Libra Esterlina"", 'Data "&amp;"in Local Currency'!G15*GOOGLEFINANCE(""Currency:GBPEUR""),
IF($D15=""Iene"",'Data in Local Currency'!G15*GOOGLEFINANCE(""Currency:JPYEUR""),
IF($D15=""HKD"",'Data in Local Currency'!G15*GOOGLEFINANCE(""Currency:HKDEUR""),
IF($D15=""KRW"",'Data in Local Cu"&amp;"rrency'!G15*GOOGLEFINANCE(""Currency:KRWEUR""),"""")))))))"),119.95)</f>
        <v>119.95</v>
      </c>
      <c r="O15" s="15">
        <v>123.25</v>
      </c>
      <c r="P15" s="11">
        <v>23.8</v>
      </c>
      <c r="Q15" s="17"/>
      <c r="R15" s="11" t="s">
        <v>27</v>
      </c>
      <c r="S15" s="17">
        <v>3.0</v>
      </c>
    </row>
    <row r="16">
      <c r="A16" s="11" t="s">
        <v>65</v>
      </c>
      <c r="B16" s="11" t="s">
        <v>66</v>
      </c>
      <c r="C16" s="11" t="s">
        <v>67</v>
      </c>
      <c r="D16" s="12" t="s">
        <v>26</v>
      </c>
      <c r="E16" s="11">
        <v>3.3</v>
      </c>
      <c r="F16" s="11">
        <v>2.9</v>
      </c>
      <c r="G16" s="11">
        <v>2.7</v>
      </c>
      <c r="H16" s="13">
        <v>2.6</v>
      </c>
      <c r="I16" s="11">
        <v>75.0</v>
      </c>
      <c r="J16" s="11">
        <v>25.0</v>
      </c>
      <c r="K16" s="14">
        <v>38.0</v>
      </c>
      <c r="L16" s="15">
        <f>IFERROR(__xludf.DUMMYFUNCTION("IF($D16=""Euro"",'Data in Local Currency'!E16,
IF($D16=""Dolar"",'Data in Local Currency'!E16*GOOGLEFINANCE(""Currency:USDEUR""),
IF($D16=""Franco Suíço"",'Data in Local Currency'!E16*GOOGLEFINANCE(""Currency:CHFEUR""),
IF($D16=""Libra Esterlina"", 'Data "&amp;"in Local Currency'!E16*GOOGLEFINANCE(""Currency:GBPEUR""),
IF($D16=""Iene"",'Data in Local Currency'!E16*GOOGLEFINANCE(""Currency:JPYEUR""),
IF($D16=""HKD"",'Data in Local Currency'!E16*GOOGLEFINANCE(""Currency:HKDEUR""),
IF($D16=""KRW"",'Data in Local Cu"&amp;"rrency'!E16*GOOGLEFINANCE(""Currency:KRWEUR""),"""")))))))"),1.97)</f>
        <v>1.97</v>
      </c>
      <c r="M16" s="20">
        <f>'Data in Local Currency'!F16</f>
        <v>2002</v>
      </c>
      <c r="N16" s="15">
        <f>IFERROR(__xludf.DUMMYFUNCTION("IF($D16=""Euro"",'Data in Local Currency'!G16,
IF($D16=""Dolar"",'Data in Local Currency'!G16*GOOGLEFINANCE(""Currency:USDEUR""),
IF($D16=""Franco Suíço"",'Data in Local Currency'!G16*GOOGLEFINANCE(""Currency:CHFEUR""),
IF($D16=""Libra Esterlina"", 'Data "&amp;"in Local Currency'!G16*GOOGLEFINANCE(""Currency:GBPEUR""),
IF($D16=""Iene"",'Data in Local Currency'!G16*GOOGLEFINANCE(""Currency:JPYEUR""),
IF($D16=""HKD"",'Data in Local Currency'!G16*GOOGLEFINANCE(""Currency:HKDEUR""),
IF($D16=""KRW"",'Data in Local Cu"&amp;"rrency'!G16*GOOGLEFINANCE(""Currency:KRWEUR""),"""")))))))"),15.95)</f>
        <v>15.95</v>
      </c>
      <c r="O16" s="15">
        <v>13.7</v>
      </c>
      <c r="P16" s="11">
        <v>1.64</v>
      </c>
      <c r="Q16" s="17"/>
      <c r="R16" s="11" t="s">
        <v>27</v>
      </c>
      <c r="S16" s="17">
        <v>0.0</v>
      </c>
    </row>
    <row r="17">
      <c r="A17" s="11" t="s">
        <v>68</v>
      </c>
      <c r="B17" s="11" t="s">
        <v>69</v>
      </c>
      <c r="C17" s="11" t="s">
        <v>70</v>
      </c>
      <c r="D17" s="12" t="s">
        <v>26</v>
      </c>
      <c r="E17" s="11">
        <v>3.4</v>
      </c>
      <c r="F17" s="11">
        <v>2.4</v>
      </c>
      <c r="G17" s="11">
        <v>2.4</v>
      </c>
      <c r="H17" s="13" t="s">
        <v>42</v>
      </c>
      <c r="I17" s="11" t="s">
        <v>42</v>
      </c>
      <c r="J17" s="11" t="s">
        <v>42</v>
      </c>
      <c r="K17" s="14" t="s">
        <v>42</v>
      </c>
      <c r="L17" s="15">
        <f>IFERROR(__xludf.DUMMYFUNCTION("IF($D17=""Euro"",'Data in Local Currency'!E17,
IF($D17=""Dolar"",'Data in Local Currency'!E17*GOOGLEFINANCE(""Currency:USDEUR""),
IF($D17=""Franco Suíço"",'Data in Local Currency'!E17*GOOGLEFINANCE(""Currency:CHFEUR""),
IF($D17=""Libra Esterlina"", 'Data "&amp;"in Local Currency'!E17*GOOGLEFINANCE(""Currency:GBPEUR""),
IF($D17=""Iene"",'Data in Local Currency'!E17*GOOGLEFINANCE(""Currency:JPYEUR""),
IF($D17=""HKD"",'Data in Local Currency'!E17*GOOGLEFINANCE(""Currency:HKDEUR""),
IF($D17=""KRW"",'Data in Local Cu"&amp;"rrency'!E17*GOOGLEFINANCE(""Currency:KRWEUR""),"""")))))))"),2.9)</f>
        <v>2.9</v>
      </c>
      <c r="M17" s="20">
        <f>'Data in Local Currency'!F17</f>
        <v>1998</v>
      </c>
      <c r="N17" s="15">
        <f>IFERROR(__xludf.DUMMYFUNCTION("IF($D17=""Euro"",'Data in Local Currency'!G17,
IF($D17=""Dolar"",'Data in Local Currency'!G17*GOOGLEFINANCE(""Currency:USDEUR""),
IF($D17=""Franco Suíço"",'Data in Local Currency'!G17*GOOGLEFINANCE(""Currency:CHFEUR""),
IF($D17=""Libra Esterlina"", 'Data "&amp;"in Local Currency'!G17*GOOGLEFINANCE(""Currency:GBPEUR""),
IF($D17=""Iene"",'Data in Local Currency'!G17*GOOGLEFINANCE(""Currency:JPYEUR""),
IF($D17=""HKD"",'Data in Local Currency'!G17*GOOGLEFINANCE(""Currency:HKDEUR""),
IF($D17=""KRW"",'Data in Local Cu"&amp;"rrency'!G17*GOOGLEFINANCE(""Currency:KRWEUR""),"""")))))))"),97.05)</f>
        <v>97.05</v>
      </c>
      <c r="O17" s="15">
        <v>139.7</v>
      </c>
      <c r="P17" s="11">
        <v>2.93</v>
      </c>
      <c r="Q17" s="17">
        <v>0.42</v>
      </c>
      <c r="R17" s="11" t="s">
        <v>32</v>
      </c>
      <c r="S17" s="17"/>
    </row>
    <row r="18">
      <c r="A18" s="11" t="s">
        <v>71</v>
      </c>
      <c r="B18" s="11" t="s">
        <v>72</v>
      </c>
      <c r="C18" s="11" t="s">
        <v>73</v>
      </c>
      <c r="D18" s="12" t="s">
        <v>26</v>
      </c>
      <c r="E18" s="11">
        <v>3.7</v>
      </c>
      <c r="F18" s="11">
        <v>3.4</v>
      </c>
      <c r="G18" s="11">
        <v>3.0</v>
      </c>
      <c r="H18" s="13" t="s">
        <v>42</v>
      </c>
      <c r="I18" s="11" t="s">
        <v>42</v>
      </c>
      <c r="J18" s="11" t="s">
        <v>42</v>
      </c>
      <c r="K18" s="14" t="s">
        <v>42</v>
      </c>
      <c r="L18" s="15">
        <f>IFERROR(__xludf.DUMMYFUNCTION("IF($D18=""Euro"",'Data in Local Currency'!E18,
IF($D18=""Dolar"",'Data in Local Currency'!E18*GOOGLEFINANCE(""Currency:USDEUR""),
IF($D18=""Franco Suíço"",'Data in Local Currency'!E18*GOOGLEFINANCE(""Currency:CHFEUR""),
IF($D18=""Libra Esterlina"", 'Data "&amp;"in Local Currency'!E18*GOOGLEFINANCE(""Currency:GBPEUR""),
IF($D18=""Iene"",'Data in Local Currency'!E18*GOOGLEFINANCE(""Currency:JPYEUR""),
IF($D18=""HKD"",'Data in Local Currency'!E18*GOOGLEFINANCE(""Currency:HKDEUR""),
IF($D18=""KRW"",'Data in Local Cu"&amp;"rrency'!E18*GOOGLEFINANCE(""Currency:KRWEUR""),"""")))))))"),0.18)</f>
        <v>0.18</v>
      </c>
      <c r="M18" s="20">
        <f>'Data in Local Currency'!F18</f>
        <v>1997</v>
      </c>
      <c r="N18" s="15">
        <f>IFERROR(__xludf.DUMMYFUNCTION("IF($D18=""Euro"",'Data in Local Currency'!G18,
IF($D18=""Dolar"",'Data in Local Currency'!G18*GOOGLEFINANCE(""Currency:USDEUR""),
IF($D18=""Franco Suíço"",'Data in Local Currency'!G18*GOOGLEFINANCE(""Currency:CHFEUR""),
IF($D18=""Libra Esterlina"", 'Data "&amp;"in Local Currency'!G18*GOOGLEFINANCE(""Currency:GBPEUR""),
IF($D18=""Iene"",'Data in Local Currency'!G18*GOOGLEFINANCE(""Currency:JPYEUR""),
IF($D18=""HKD"",'Data in Local Currency'!G18*GOOGLEFINANCE(""Currency:HKDEUR""),
IF($D18=""KRW"",'Data in Local Cu"&amp;"rrency'!G18*GOOGLEFINANCE(""Currency:KRWEUR""),"""")))))))"),13.02)</f>
        <v>13.02</v>
      </c>
      <c r="O18" s="15">
        <v>14.16</v>
      </c>
      <c r="P18" s="11">
        <v>1.23</v>
      </c>
      <c r="Q18" s="17"/>
      <c r="R18" s="11" t="s">
        <v>27</v>
      </c>
      <c r="S18" s="17">
        <v>0.0</v>
      </c>
    </row>
    <row r="19">
      <c r="A19" s="11" t="s">
        <v>74</v>
      </c>
      <c r="B19" s="11" t="s">
        <v>75</v>
      </c>
      <c r="C19" s="11" t="s">
        <v>76</v>
      </c>
      <c r="D19" s="12" t="s">
        <v>26</v>
      </c>
      <c r="E19" s="11">
        <v>4.1</v>
      </c>
      <c r="F19" s="11">
        <v>4.1</v>
      </c>
      <c r="G19" s="11">
        <v>3.6</v>
      </c>
      <c r="H19" s="13" t="s">
        <v>42</v>
      </c>
      <c r="I19" s="11" t="s">
        <v>42</v>
      </c>
      <c r="J19" s="11" t="s">
        <v>42</v>
      </c>
      <c r="K19" s="14" t="s">
        <v>42</v>
      </c>
      <c r="L19" s="15">
        <f>IFERROR(__xludf.DUMMYFUNCTION("IF($D19=""Euro"",'Data in Local Currency'!E19,
IF($D19=""Dolar"",'Data in Local Currency'!E19*GOOGLEFINANCE(""Currency:USDEUR""),
IF($D19=""Franco Suíço"",'Data in Local Currency'!E19*GOOGLEFINANCE(""Currency:CHFEUR""),
IF($D19=""Libra Esterlina"", 'Data "&amp;"in Local Currency'!E19*GOOGLEFINANCE(""Currency:GBPEUR""),
IF($D19=""Iene"",'Data in Local Currency'!E19*GOOGLEFINANCE(""Currency:JPYEUR""),
IF($D19=""HKD"",'Data in Local Currency'!E19*GOOGLEFINANCE(""Currency:HKDEUR""),
IF($D19=""KRW"",'Data in Local Cu"&amp;"rrency'!E19*GOOGLEFINANCE(""Currency:KRWEUR""),"""")))))))"),36.13)</f>
        <v>36.13</v>
      </c>
      <c r="M19" s="20">
        <f>'Data in Local Currency'!F19</f>
        <v>2000</v>
      </c>
      <c r="N19" s="15">
        <f>IFERROR(__xludf.DUMMYFUNCTION("IF($D19=""Euro"",'Data in Local Currency'!G19,
IF($D19=""Dolar"",'Data in Local Currency'!G19*GOOGLEFINANCE(""Currency:USDEUR""),
IF($D19=""Franco Suíço"",'Data in Local Currency'!G19*GOOGLEFINANCE(""Currency:CHFEUR""),
IF($D19=""Libra Esterlina"", 'Data "&amp;"in Local Currency'!G19*GOOGLEFINANCE(""Currency:GBPEUR""),
IF($D19=""Iene"",'Data in Local Currency'!G19*GOOGLEFINANCE(""Currency:JPYEUR""),
IF($D19=""HKD"",'Data in Local Currency'!G19*GOOGLEFINANCE(""Currency:HKDEUR""),
IF($D19=""KRW"",'Data in Local Cu"&amp;"rrency'!G19*GOOGLEFINANCE(""Currency:KRWEUR""),"""")))))))"),49.55)</f>
        <v>49.55</v>
      </c>
      <c r="O19" s="15">
        <v>57.88</v>
      </c>
      <c r="P19" s="11">
        <v>44.16</v>
      </c>
      <c r="Q19" s="17">
        <v>6.44</v>
      </c>
      <c r="R19" s="11" t="s">
        <v>27</v>
      </c>
      <c r="S19" s="17">
        <v>6.0</v>
      </c>
    </row>
    <row r="20">
      <c r="A20" s="11" t="s">
        <v>77</v>
      </c>
      <c r="B20" s="11" t="s">
        <v>78</v>
      </c>
      <c r="C20" s="11" t="s">
        <v>79</v>
      </c>
      <c r="D20" s="12" t="s">
        <v>26</v>
      </c>
      <c r="E20" s="11">
        <v>4.1</v>
      </c>
      <c r="F20" s="11">
        <v>3.9</v>
      </c>
      <c r="G20" s="11">
        <v>3.5</v>
      </c>
      <c r="H20" s="13">
        <v>3.0</v>
      </c>
      <c r="I20" s="11">
        <v>75.0</v>
      </c>
      <c r="J20" s="11">
        <v>58.0</v>
      </c>
      <c r="K20" s="14">
        <v>60.0</v>
      </c>
      <c r="L20" s="15">
        <f>IFERROR(__xludf.DUMMYFUNCTION("IF($D20=""Euro"",'Data in Local Currency'!E20,
IF($D20=""Dolar"",'Data in Local Currency'!E20*GOOGLEFINANCE(""Currency:USDEUR""),
IF($D20=""Franco Suíço"",'Data in Local Currency'!E20*GOOGLEFINANCE(""Currency:CHFEUR""),
IF($D20=""Libra Esterlina"", 'Data "&amp;"in Local Currency'!E20*GOOGLEFINANCE(""Currency:GBPEUR""),
IF($D20=""Iene"",'Data in Local Currency'!E20*GOOGLEFINANCE(""Currency:JPYEUR""),
IF($D20=""HKD"",'Data in Local Currency'!E20*GOOGLEFINANCE(""Currency:HKDEUR""),
IF($D20=""KRW"",'Data in Local Cu"&amp;"rrency'!E20*GOOGLEFINANCE(""Currency:KRWEUR""),"""")))))))"),18.17)</f>
        <v>18.17</v>
      </c>
      <c r="M20" s="20">
        <f>'Data in Local Currency'!F20</f>
        <v>2000</v>
      </c>
      <c r="N20" s="15">
        <f>IFERROR(__xludf.DUMMYFUNCTION("IF($D20=""Euro"",'Data in Local Currency'!G20,
IF($D20=""Dolar"",'Data in Local Currency'!G20*GOOGLEFINANCE(""Currency:USDEUR""),
IF($D20=""Franco Suíço"",'Data in Local Currency'!G20*GOOGLEFINANCE(""Currency:CHFEUR""),
IF($D20=""Libra Esterlina"", 'Data "&amp;"in Local Currency'!G20*GOOGLEFINANCE(""Currency:GBPEUR""),
IF($D20=""Iene"",'Data in Local Currency'!G20*GOOGLEFINANCE(""Currency:JPYEUR""),
IF($D20=""HKD"",'Data in Local Currency'!G20*GOOGLEFINANCE(""Currency:HKDEUR""),
IF($D20=""KRW"",'Data in Local Cu"&amp;"rrency'!G20*GOOGLEFINANCE(""Currency:KRWEUR""),"""")))))))"),46.22)</f>
        <v>46.22</v>
      </c>
      <c r="O20" s="15">
        <v>36.92</v>
      </c>
      <c r="P20" s="11">
        <v>4.84</v>
      </c>
      <c r="Q20" s="17">
        <v>0.64</v>
      </c>
      <c r="R20" s="11" t="s">
        <v>32</v>
      </c>
      <c r="S20" s="17"/>
    </row>
    <row r="21">
      <c r="A21" s="11" t="s">
        <v>80</v>
      </c>
      <c r="B21" s="11" t="s">
        <v>81</v>
      </c>
      <c r="C21" s="11" t="s">
        <v>82</v>
      </c>
      <c r="D21" s="12" t="s">
        <v>26</v>
      </c>
      <c r="E21" s="11">
        <v>3.9</v>
      </c>
      <c r="F21" s="11">
        <v>3.6</v>
      </c>
      <c r="G21" s="11">
        <v>3.4</v>
      </c>
      <c r="H21" s="13" t="s">
        <v>42</v>
      </c>
      <c r="I21" s="11" t="s">
        <v>42</v>
      </c>
      <c r="J21" s="11" t="s">
        <v>42</v>
      </c>
      <c r="K21" s="14" t="s">
        <v>42</v>
      </c>
      <c r="L21" s="15">
        <f>IFERROR(__xludf.DUMMYFUNCTION("IF($D21=""Euro"",'Data in Local Currency'!E21,
IF($D21=""Dolar"",'Data in Local Currency'!E21*GOOGLEFINANCE(""Currency:USDEUR""),
IF($D21=""Franco Suíço"",'Data in Local Currency'!E21*GOOGLEFINANCE(""Currency:CHFEUR""),
IF($D21=""Libra Esterlina"", 'Data "&amp;"in Local Currency'!E21*GOOGLEFINANCE(""Currency:GBPEUR""),
IF($D21=""Iene"",'Data in Local Currency'!E21*GOOGLEFINANCE(""Currency:JPYEUR""),
IF($D21=""HKD"",'Data in Local Currency'!E21*GOOGLEFINANCE(""Currency:HKDEUR""),
IF($D21=""KRW"",'Data in Local Cu"&amp;"rrency'!E21*GOOGLEFINANCE(""Currency:KRWEUR""),"""")))))))"),23.35)</f>
        <v>23.35</v>
      </c>
      <c r="M21" s="20">
        <f>'Data in Local Currency'!F21</f>
        <v>2016</v>
      </c>
      <c r="N21" s="15">
        <f>IFERROR(__xludf.DUMMYFUNCTION("IF($D21=""Euro"",'Data in Local Currency'!G21,
IF($D21=""Dolar"",'Data in Local Currency'!G21*GOOGLEFINANCE(""Currency:USDEUR""),
IF($D21=""Franco Suíço"",'Data in Local Currency'!G21*GOOGLEFINANCE(""Currency:CHFEUR""),
IF($D21=""Libra Esterlina"", 'Data "&amp;"in Local Currency'!G21*GOOGLEFINANCE(""Currency:GBPEUR""),
IF($D21=""Iene"",'Data in Local Currency'!G21*GOOGLEFINANCE(""Currency:JPYEUR""),
IF($D21=""HKD"",'Data in Local Currency'!G21*GOOGLEFINANCE(""Currency:HKDEUR""),
IF($D21=""KRW"",'Data in Local Cu"&amp;"rrency'!G21*GOOGLEFINANCE(""Currency:KRWEUR""),"""")))))))"),66.49)</f>
        <v>66.49</v>
      </c>
      <c r="O21" s="15">
        <v>50.35</v>
      </c>
      <c r="P21" s="11">
        <v>0.94</v>
      </c>
      <c r="Q21" s="17">
        <v>0.02</v>
      </c>
      <c r="R21" s="11" t="s">
        <v>27</v>
      </c>
      <c r="S21" s="17">
        <v>0.0</v>
      </c>
    </row>
    <row r="22">
      <c r="A22" s="11" t="s">
        <v>83</v>
      </c>
      <c r="B22" s="11" t="s">
        <v>84</v>
      </c>
      <c r="C22" s="11" t="s">
        <v>85</v>
      </c>
      <c r="D22" s="12" t="s">
        <v>26</v>
      </c>
      <c r="E22" s="11">
        <v>2.8</v>
      </c>
      <c r="F22" s="11">
        <v>2.2</v>
      </c>
      <c r="G22" s="11">
        <v>2.3</v>
      </c>
      <c r="H22" s="13" t="s">
        <v>42</v>
      </c>
      <c r="I22" s="11" t="s">
        <v>42</v>
      </c>
      <c r="J22" s="11" t="s">
        <v>42</v>
      </c>
      <c r="K22" s="14" t="s">
        <v>42</v>
      </c>
      <c r="L22" s="15">
        <f>IFERROR(__xludf.DUMMYFUNCTION("IF($D22=""Euro"",'Data in Local Currency'!E22,
IF($D22=""Dolar"",'Data in Local Currency'!E22*GOOGLEFINANCE(""Currency:USDEUR""),
IF($D22=""Franco Suíço"",'Data in Local Currency'!E22*GOOGLEFINANCE(""Currency:CHFEUR""),
IF($D22=""Libra Esterlina"", 'Data "&amp;"in Local Currency'!E22*GOOGLEFINANCE(""Currency:GBPEUR""),
IF($D22=""Iene"",'Data in Local Currency'!E22*GOOGLEFINANCE(""Currency:JPYEUR""),
IF($D22=""HKD"",'Data in Local Currency'!E22*GOOGLEFINANCE(""Currency:HKDEUR""),
IF($D22=""KRW"",'Data in Local Cu"&amp;"rrency'!E22*GOOGLEFINANCE(""Currency:KRWEUR""),"""")))))))"),7.01)</f>
        <v>7.01</v>
      </c>
      <c r="M22" s="20">
        <f>'Data in Local Currency'!F22</f>
        <v>2000</v>
      </c>
      <c r="N22" s="15">
        <f>IFERROR(__xludf.DUMMYFUNCTION("IF($D22=""Euro"",'Data in Local Currency'!G22,
IF($D22=""Dolar"",'Data in Local Currency'!G22*GOOGLEFINANCE(""Currency:USDEUR""),
IF($D22=""Franco Suíço"",'Data in Local Currency'!G22*GOOGLEFINANCE(""Currency:CHFEUR""),
IF($D22=""Libra Esterlina"", 'Data "&amp;"in Local Currency'!G22*GOOGLEFINANCE(""Currency:GBPEUR""),
IF($D22=""Iene"",'Data in Local Currency'!G22*GOOGLEFINANCE(""Currency:JPYEUR""),
IF($D22=""HKD"",'Data in Local Currency'!G22*GOOGLEFINANCE(""Currency:HKDEUR""),
IF($D22=""KRW"",'Data in Local Cu"&amp;"rrency'!G22*GOOGLEFINANCE(""Currency:KRWEUR""),"""")))))))"),2.78)</f>
        <v>2.78</v>
      </c>
      <c r="O22" s="15">
        <v>2.83</v>
      </c>
      <c r="P22" s="11">
        <v>0.84</v>
      </c>
      <c r="Q22" s="17">
        <v>0.09</v>
      </c>
      <c r="R22" s="11" t="s">
        <v>27</v>
      </c>
      <c r="S22" s="17">
        <v>2.0</v>
      </c>
    </row>
    <row r="23">
      <c r="A23" s="21" t="s">
        <v>86</v>
      </c>
      <c r="B23" s="11" t="s">
        <v>87</v>
      </c>
      <c r="C23" s="11" t="s">
        <v>88</v>
      </c>
      <c r="D23" s="12" t="s">
        <v>26</v>
      </c>
      <c r="E23" s="11">
        <v>4.4</v>
      </c>
      <c r="F23" s="11">
        <v>4.1</v>
      </c>
      <c r="G23" s="11">
        <v>3.9</v>
      </c>
      <c r="H23" s="13">
        <v>2.8</v>
      </c>
      <c r="I23" s="11">
        <v>17.0</v>
      </c>
      <c r="J23" s="11">
        <v>78.0</v>
      </c>
      <c r="K23" s="14">
        <v>50.0</v>
      </c>
      <c r="L23" s="15">
        <f>IFERROR(__xludf.DUMMYFUNCTION("IF($D23=""Euro"",'Data in Local Currency'!E23,
IF($D23=""Dolar"",'Data in Local Currency'!E23*GOOGLEFINANCE(""Currency:USDEUR""),
IF($D23=""Franco Suíço"",'Data in Local Currency'!E23*GOOGLEFINANCE(""Currency:CHFEUR""),
IF($D23=""Libra Esterlina"", 'Data "&amp;"in Local Currency'!E23*GOOGLEFINANCE(""Currency:GBPEUR""),
IF($D23=""Iene"",'Data in Local Currency'!E23*GOOGLEFINANCE(""Currency:JPYEUR""),
IF($D23=""HKD"",'Data in Local Currency'!E23*GOOGLEFINANCE(""Currency:HKDEUR""),
IF($D23=""KRW"",'Data in Local Cu"&amp;"rrency'!E23*GOOGLEFINANCE(""Currency:KRWEUR""),"""")))))))"),216.89)</f>
        <v>216.89</v>
      </c>
      <c r="M23" s="20">
        <f>'Data in Local Currency'!F23</f>
        <v>1998</v>
      </c>
      <c r="N23" s="15">
        <f>IFERROR(__xludf.DUMMYFUNCTION("IF($D23=""Euro"",'Data in Local Currency'!G23,
IF($D23=""Dolar"",'Data in Local Currency'!G23*GOOGLEFINANCE(""Currency:USDEUR""),
IF($D23=""Franco Suíço"",'Data in Local Currency'!G23*GOOGLEFINANCE(""Currency:CHFEUR""),
IF($D23=""Libra Esterlina"", 'Data "&amp;"in Local Currency'!G23*GOOGLEFINANCE(""Currency:GBPEUR""),
IF($D23=""Iene"",'Data in Local Currency'!G23*GOOGLEFINANCE(""Currency:JPYEUR""),
IF($D23=""HKD"",'Data in Local Currency'!G23*GOOGLEFINANCE(""Currency:HKDEUR""),
IF($D23=""KRW"",'Data in Local Cu"&amp;"rrency'!G23*GOOGLEFINANCE(""Currency:KRWEUR""),"""")))))))"),175.95)</f>
        <v>175.95</v>
      </c>
      <c r="O23" s="15">
        <v>240.0</v>
      </c>
      <c r="P23" s="11">
        <v>70.24</v>
      </c>
      <c r="Q23" s="17"/>
      <c r="R23" s="11" t="s">
        <v>27</v>
      </c>
      <c r="S23" s="17">
        <v>0.0</v>
      </c>
    </row>
    <row r="24">
      <c r="A24" s="11" t="s">
        <v>89</v>
      </c>
      <c r="B24" s="11" t="s">
        <v>90</v>
      </c>
      <c r="C24" s="11" t="s">
        <v>91</v>
      </c>
      <c r="D24" s="12" t="s">
        <v>26</v>
      </c>
      <c r="E24" s="11">
        <v>3.7</v>
      </c>
      <c r="F24" s="11">
        <v>3.3</v>
      </c>
      <c r="G24" s="11">
        <v>3.2</v>
      </c>
      <c r="H24" s="13" t="s">
        <v>42</v>
      </c>
      <c r="I24" s="11" t="s">
        <v>42</v>
      </c>
      <c r="J24" s="11" t="s">
        <v>42</v>
      </c>
      <c r="K24" s="14" t="s">
        <v>42</v>
      </c>
      <c r="L24" s="15">
        <f>IFERROR(__xludf.DUMMYFUNCTION("IF($D24=""Euro"",'Data in Local Currency'!E24,
IF($D24=""Dolar"",'Data in Local Currency'!E24*GOOGLEFINANCE(""Currency:USDEUR""),
IF($D24=""Franco Suíço"",'Data in Local Currency'!E24*GOOGLEFINANCE(""Currency:CHFEUR""),
IF($D24=""Libra Esterlina"", 'Data "&amp;"in Local Currency'!E24*GOOGLEFINANCE(""Currency:GBPEUR""),
IF($D24=""Iene"",'Data in Local Currency'!E24*GOOGLEFINANCE(""Currency:JPYEUR""),
IF($D24=""HKD"",'Data in Local Currency'!E24*GOOGLEFINANCE(""Currency:HKDEUR""),
IF($D24=""KRW"",'Data in Local Cu"&amp;"rrency'!E24*GOOGLEFINANCE(""Currency:KRWEUR""),"""")))))))"),74.0)</f>
        <v>74</v>
      </c>
      <c r="M24" s="20">
        <f>'Data in Local Currency'!F24</f>
        <v>2015</v>
      </c>
      <c r="N24" s="15">
        <f>IFERROR(__xludf.DUMMYFUNCTION("IF($D24=""Euro"",'Data in Local Currency'!G24,
IF($D24=""Dolar"",'Data in Local Currency'!G24*GOOGLEFINANCE(""Currency:USDEUR""),
IF($D24=""Franco Suíço"",'Data in Local Currency'!G24*GOOGLEFINANCE(""Currency:CHFEUR""),
IF($D24=""Libra Esterlina"", 'Data "&amp;"in Local Currency'!G24*GOOGLEFINANCE(""Currency:GBPEUR""),
IF($D24=""Iene"",'Data in Local Currency'!G24*GOOGLEFINANCE(""Currency:JPYEUR""),
IF($D24=""HKD"",'Data in Local Currency'!G24*GOOGLEFINANCE(""Currency:HKDEUR""),
IF($D24=""KRW"",'Data in Local Cu"&amp;"rrency'!G24*GOOGLEFINANCE(""Currency:KRWEUR""),"""")))))))"),162.0)</f>
        <v>162</v>
      </c>
      <c r="O24" s="15">
        <v>145.15</v>
      </c>
      <c r="P24" s="11">
        <v>2.32</v>
      </c>
      <c r="Q24" s="17">
        <v>0.82</v>
      </c>
      <c r="R24" s="11" t="s">
        <v>27</v>
      </c>
      <c r="S24" s="17">
        <v>0.0</v>
      </c>
    </row>
    <row r="25">
      <c r="A25" s="11" t="s">
        <v>92</v>
      </c>
      <c r="B25" s="11" t="s">
        <v>93</v>
      </c>
      <c r="C25" s="11" t="s">
        <v>94</v>
      </c>
      <c r="D25" s="12" t="s">
        <v>26</v>
      </c>
      <c r="E25" s="11">
        <v>3.5</v>
      </c>
      <c r="F25" s="11">
        <v>3.9</v>
      </c>
      <c r="G25" s="11">
        <v>4.0</v>
      </c>
      <c r="H25" s="13" t="s">
        <v>42</v>
      </c>
      <c r="I25" s="11" t="s">
        <v>42</v>
      </c>
      <c r="J25" s="11" t="s">
        <v>42</v>
      </c>
      <c r="K25" s="14" t="s">
        <v>42</v>
      </c>
      <c r="L25" s="15">
        <f>IFERROR(__xludf.DUMMYFUNCTION("IF($D25=""Euro"",'Data in Local Currency'!E25,
IF($D25=""Dolar"",'Data in Local Currency'!E25*GOOGLEFINANCE(""Currency:USDEUR""),
IF($D25=""Franco Suíço"",'Data in Local Currency'!E25*GOOGLEFINANCE(""Currency:CHFEUR""),
IF($D25=""Libra Esterlina"", 'Data "&amp;"in Local Currency'!E25*GOOGLEFINANCE(""Currency:GBPEUR""),
IF($D25=""Iene"",'Data in Local Currency'!E25*GOOGLEFINANCE(""Currency:JPYEUR""),
IF($D25=""HKD"",'Data in Local Currency'!E25*GOOGLEFINANCE(""Currency:HKDEUR""),
IF($D25=""KRW"",'Data in Local Cu"&amp;"rrency'!E25*GOOGLEFINANCE(""Currency:KRWEUR""),"""")))))))"),9.35)</f>
        <v>9.35</v>
      </c>
      <c r="M25" s="20">
        <f>'Data in Local Currency'!F25</f>
        <v>2000</v>
      </c>
      <c r="N25" s="15">
        <f>IFERROR(__xludf.DUMMYFUNCTION("IF($D25=""Euro"",'Data in Local Currency'!G25,
IF($D25=""Dolar"",'Data in Local Currency'!G25*GOOGLEFINANCE(""Currency:USDEUR""),
IF($D25=""Franco Suíço"",'Data in Local Currency'!G25*GOOGLEFINANCE(""Currency:CHFEUR""),
IF($D25=""Libra Esterlina"", 'Data "&amp;"in Local Currency'!G25*GOOGLEFINANCE(""Currency:GBPEUR""),
IF($D25=""Iene"",'Data in Local Currency'!G25*GOOGLEFINANCE(""Currency:JPYEUR""),
IF($D25=""HKD"",'Data in Local Currency'!G25*GOOGLEFINANCE(""Currency:HKDEUR""),
IF($D25=""KRW"",'Data in Local Cu"&amp;"rrency'!G25*GOOGLEFINANCE(""Currency:KRWEUR""),"""")))))))"),11.0)</f>
        <v>11</v>
      </c>
      <c r="O25" s="15">
        <v>10.1</v>
      </c>
      <c r="P25" s="11">
        <v>0.84</v>
      </c>
      <c r="Q25" s="17"/>
      <c r="R25" s="11" t="s">
        <v>27</v>
      </c>
      <c r="S25" s="17">
        <v>0.0</v>
      </c>
    </row>
    <row r="26">
      <c r="A26" s="11" t="s">
        <v>95</v>
      </c>
      <c r="B26" s="11" t="s">
        <v>96</v>
      </c>
      <c r="C26" s="11" t="s">
        <v>97</v>
      </c>
      <c r="D26" s="12" t="s">
        <v>26</v>
      </c>
      <c r="E26" s="11">
        <v>4.0</v>
      </c>
      <c r="F26" s="11">
        <v>3.8</v>
      </c>
      <c r="G26" s="11">
        <v>3.5</v>
      </c>
      <c r="H26" s="13">
        <v>4.5</v>
      </c>
      <c r="I26" s="11">
        <v>16.0</v>
      </c>
      <c r="J26" s="11">
        <v>77.0</v>
      </c>
      <c r="K26" s="14">
        <v>82.0</v>
      </c>
      <c r="L26" s="15">
        <f>IFERROR(__xludf.DUMMYFUNCTION("IF($D26=""Euro"",'Data in Local Currency'!E26,
IF($D26=""Dolar"",'Data in Local Currency'!E26*GOOGLEFINANCE(""Currency:USDEUR""),
IF($D26=""Franco Suíço"",'Data in Local Currency'!E26*GOOGLEFINANCE(""Currency:CHFEUR""),
IF($D26=""Libra Esterlina"", 'Data "&amp;"in Local Currency'!E26*GOOGLEFINANCE(""Currency:GBPEUR""),
IF($D26=""Iene"",'Data in Local Currency'!E26*GOOGLEFINANCE(""Currency:JPYEUR""),
IF($D26=""HKD"",'Data in Local Currency'!E26*GOOGLEFINANCE(""Currency:HKDEUR""),
IF($D26=""KRW"",'Data in Local Cu"&amp;"rrency'!E26*GOOGLEFINANCE(""Currency:KRWEUR""),"""")))))))"),7.19)</f>
        <v>7.19</v>
      </c>
      <c r="M26" s="20">
        <f>'Data in Local Currency'!F26</f>
        <v>2000</v>
      </c>
      <c r="N26" s="15">
        <f>IFERROR(__xludf.DUMMYFUNCTION("IF($D26=""Euro"",'Data in Local Currency'!G26,
IF($D26=""Dolar"",'Data in Local Currency'!G26*GOOGLEFINANCE(""Currency:USDEUR""),
IF($D26=""Franco Suíço"",'Data in Local Currency'!G26*GOOGLEFINANCE(""Currency:CHFEUR""),
IF($D26=""Libra Esterlina"", 'Data "&amp;"in Local Currency'!G26*GOOGLEFINANCE(""Currency:GBPEUR""),
IF($D26=""Iene"",'Data in Local Currency'!G26*GOOGLEFINANCE(""Currency:JPYEUR""),
IF($D26=""HKD"",'Data in Local Currency'!G26*GOOGLEFINANCE(""Currency:HKDEUR""),
IF($D26=""KRW"",'Data in Local Cu"&amp;"rrency'!G26*GOOGLEFINANCE(""Currency:KRWEUR""),"""")))))))"),86.61)</f>
        <v>86.61</v>
      </c>
      <c r="O26" s="15">
        <v>94.04</v>
      </c>
      <c r="P26" s="11">
        <v>37.76</v>
      </c>
      <c r="Q26" s="17">
        <v>11.8</v>
      </c>
      <c r="R26" s="11" t="s">
        <v>27</v>
      </c>
      <c r="S26" s="17">
        <v>4.0</v>
      </c>
    </row>
    <row r="27">
      <c r="A27" s="11" t="s">
        <v>98</v>
      </c>
      <c r="B27" s="11" t="s">
        <v>99</v>
      </c>
      <c r="C27" s="11" t="s">
        <v>100</v>
      </c>
      <c r="D27" s="12" t="s">
        <v>26</v>
      </c>
      <c r="E27" s="11">
        <v>4.1</v>
      </c>
      <c r="F27" s="11">
        <v>4.0</v>
      </c>
      <c r="G27" s="11">
        <v>3.6</v>
      </c>
      <c r="H27" s="13">
        <v>4.1</v>
      </c>
      <c r="I27" s="11">
        <v>16.0</v>
      </c>
      <c r="J27" s="11">
        <v>77.0</v>
      </c>
      <c r="K27" s="14">
        <v>70.0</v>
      </c>
      <c r="L27" s="15">
        <f>IFERROR(__xludf.DUMMYFUNCTION("IF($D27=""Euro"",'Data in Local Currency'!E27,
IF($D27=""Dolar"",'Data in Local Currency'!E27*GOOGLEFINANCE(""Currency:USDEUR""),
IF($D27=""Franco Suíço"",'Data in Local Currency'!E27*GOOGLEFINANCE(""Currency:CHFEUR""),
IF($D27=""Libra Esterlina"", 'Data "&amp;"in Local Currency'!E27*GOOGLEFINANCE(""Currency:GBPEUR""),
IF($D27=""Iene"",'Data in Local Currency'!E27*GOOGLEFINANCE(""Currency:JPYEUR""),
IF($D27=""HKD"",'Data in Local Currency'!E27*GOOGLEFINANCE(""Currency:HKDEUR""),
IF($D27=""KRW"",'Data in Local Cu"&amp;"rrency'!E27*GOOGLEFINANCE(""Currency:KRWEUR""),"""")))))))"),1.88)</f>
        <v>1.88</v>
      </c>
      <c r="M27" s="20">
        <f>'Data in Local Currency'!F27</f>
        <v>1995</v>
      </c>
      <c r="N27" s="15">
        <f>IFERROR(__xludf.DUMMYFUNCTION("IF($D27=""Euro"",'Data in Local Currency'!G27,
IF($D27=""Dolar"",'Data in Local Currency'!G27*GOOGLEFINANCE(""Currency:USDEUR""),
IF($D27=""Franco Suíço"",'Data in Local Currency'!G27*GOOGLEFINANCE(""Currency:CHFEUR""),
IF($D27=""Libra Esterlina"", 'Data "&amp;"in Local Currency'!G27*GOOGLEFINANCE(""Currency:GBPEUR""),
IF($D27=""Iene"",'Data in Local Currency'!G27*GOOGLEFINANCE(""Currency:JPYEUR""),
IF($D27=""HKD"",'Data in Local Currency'!G27*GOOGLEFINANCE(""Currency:HKDEUR""),
IF($D27=""KRW"",'Data in Local Cu"&amp;"rrency'!G27*GOOGLEFINANCE(""Currency:KRWEUR""),"""")))))))"),31.19)</f>
        <v>31.19</v>
      </c>
      <c r="O27" s="15">
        <v>28.28</v>
      </c>
      <c r="P27" s="11">
        <v>17.16</v>
      </c>
      <c r="Q27" s="17">
        <v>1.85</v>
      </c>
      <c r="R27" s="11" t="s">
        <v>27</v>
      </c>
      <c r="S27" s="17">
        <v>6.0</v>
      </c>
    </row>
    <row r="28">
      <c r="A28" s="11" t="s">
        <v>101</v>
      </c>
      <c r="B28" s="11" t="s">
        <v>102</v>
      </c>
      <c r="C28" s="11" t="s">
        <v>103</v>
      </c>
      <c r="D28" s="12" t="s">
        <v>104</v>
      </c>
      <c r="E28" s="11">
        <v>3.3</v>
      </c>
      <c r="F28" s="11">
        <v>3.1</v>
      </c>
      <c r="G28" s="11">
        <v>2.7</v>
      </c>
      <c r="H28" s="13" t="s">
        <v>42</v>
      </c>
      <c r="I28" s="11" t="s">
        <v>42</v>
      </c>
      <c r="J28" s="11" t="s">
        <v>42</v>
      </c>
      <c r="K28" s="14" t="s">
        <v>42</v>
      </c>
      <c r="L28" s="15">
        <f>IFERROR(__xludf.DUMMYFUNCTION("IF($D28=""Euro"",'Data in Local Currency'!E28,
IF($D28=""Dolar"",'Data in Local Currency'!E28*GOOGLEFINANCE(""Currency:USDEUR""),
IF($D28=""Franco Suíço"",'Data in Local Currency'!E28*GOOGLEFINANCE(""Currency:CHFEUR""),
IF($D28=""Libra Esterlina"", 'Data "&amp;"in Local Currency'!E28*GOOGLEFINANCE(""Currency:GBPEUR""),
IF($D28=""Iene"",'Data in Local Currency'!E28*GOOGLEFINANCE(""Currency:JPYEUR""),
IF($D28=""HKD"",'Data in Local Currency'!E28*GOOGLEFINANCE(""Currency:HKDEUR""),
IF($D28=""KRW"",'Data in Local Cu"&amp;"rrency'!E28*GOOGLEFINANCE(""Currency:KRWEUR""),"""")))))))"),441.71072254848)</f>
        <v>441.7107225</v>
      </c>
      <c r="M28" s="20">
        <f>'Data in Local Currency'!F28</f>
        <v>2006</v>
      </c>
      <c r="N28" s="15">
        <f>IFERROR(__xludf.DUMMYFUNCTION("IF($D28=""Euro"",'Data in Local Currency'!G28,
IF($D28=""Dolar"",'Data in Local Currency'!G28*GOOGLEFINANCE(""Currency:USDEUR""),
IF($D28=""Franco Suíço"",'Data in Local Currency'!G28*GOOGLEFINANCE(""Currency:CHFEUR""),
IF($D28=""Libra Esterlina"", 'Data "&amp;"in Local Currency'!G28*GOOGLEFINANCE(""Currency:GBPEUR""),
IF($D28=""Iene"",'Data in Local Currency'!G28*GOOGLEFINANCE(""Currency:JPYEUR""),
IF($D28=""HKD"",'Data in Local Currency'!G28*GOOGLEFINANCE(""Currency:HKDEUR""),
IF($D28=""KRW"",'Data in Local Cu"&amp;"rrency'!G28*GOOGLEFINANCE(""Currency:KRWEUR""),"""")))))))"),500.06280596876996)</f>
        <v>500.062806</v>
      </c>
      <c r="O28" s="15">
        <v>244.36</v>
      </c>
      <c r="P28" s="11">
        <v>2.15</v>
      </c>
      <c r="Q28" s="17"/>
      <c r="R28" s="11" t="s">
        <v>32</v>
      </c>
      <c r="S28" s="17"/>
    </row>
    <row r="29">
      <c r="A29" s="11" t="s">
        <v>105</v>
      </c>
      <c r="B29" s="11" t="s">
        <v>106</v>
      </c>
      <c r="C29" s="11" t="s">
        <v>107</v>
      </c>
      <c r="D29" s="12" t="s">
        <v>61</v>
      </c>
      <c r="E29" s="11">
        <v>4.3</v>
      </c>
      <c r="F29" s="11">
        <v>4.2</v>
      </c>
      <c r="G29" s="11">
        <v>3.7</v>
      </c>
      <c r="H29" s="13">
        <v>4.5</v>
      </c>
      <c r="I29" s="11">
        <v>52.0</v>
      </c>
      <c r="J29" s="11">
        <v>82.0</v>
      </c>
      <c r="K29" s="14">
        <v>73.0</v>
      </c>
      <c r="L29" s="15">
        <f>IFERROR(__xludf.DUMMYFUNCTION("IF($D29=""Euro"",'Data in Local Currency'!E29,
IF($D29=""Dolar"",'Data in Local Currency'!E29*GOOGLEFINANCE(""Currency:USDEUR""),
IF($D29=""Franco Suíço"",'Data in Local Currency'!E29*GOOGLEFINANCE(""Currency:CHFEUR""),
IF($D29=""Libra Esterlina"", 'Data "&amp;"in Local Currency'!E29*GOOGLEFINANCE(""Currency:GBPEUR""),
IF($D29=""Iene"",'Data in Local Currency'!E29*GOOGLEFINANCE(""Currency:JPYEUR""),
IF($D29=""HKD"",'Data in Local Currency'!E29*GOOGLEFINANCE(""Currency:HKDEUR""),
IF($D29=""KRW"",'Data in Local Cu"&amp;"rrency'!E29*GOOGLEFINANCE(""Currency:KRWEUR""),"""")))))))"),76.16234342399999)</f>
        <v>76.16234342</v>
      </c>
      <c r="M29" s="20">
        <f>'Data in Local Currency'!F29</f>
        <v>1995</v>
      </c>
      <c r="N29" s="15">
        <f>IFERROR(__xludf.DUMMYFUNCTION("IF($D29=""Euro"",'Data in Local Currency'!G29,
IF($D29=""Dolar"",'Data in Local Currency'!G29*GOOGLEFINANCE(""Currency:USDEUR""),
IF($D29=""Franco Suíço"",'Data in Local Currency'!G29*GOOGLEFINANCE(""Currency:CHFEUR""),
IF($D29=""Libra Esterlina"", 'Data "&amp;"in Local Currency'!G29*GOOGLEFINANCE(""Currency:GBPEUR""),
IF($D29=""Iene"",'Data in Local Currency'!G29*GOOGLEFINANCE(""Currency:JPYEUR""),
IF($D29=""HKD"",'Data in Local Currency'!G29*GOOGLEFINANCE(""Currency:HKDEUR""),
IF($D29=""KRW"",'Data in Local Cu"&amp;"rrency'!G29*GOOGLEFINANCE(""Currency:KRWEUR""),"""")))))))"),256.27013952)</f>
        <v>256.2701395</v>
      </c>
      <c r="O29" s="15">
        <v>355.21</v>
      </c>
      <c r="P29" s="11">
        <v>61.14</v>
      </c>
      <c r="Q29" s="17">
        <v>21.16</v>
      </c>
      <c r="R29" s="11" t="s">
        <v>27</v>
      </c>
      <c r="S29" s="17">
        <v>0.0</v>
      </c>
    </row>
    <row r="30">
      <c r="A30" s="11" t="s">
        <v>108</v>
      </c>
      <c r="B30" s="11" t="s">
        <v>109</v>
      </c>
      <c r="C30" s="11" t="s">
        <v>110</v>
      </c>
      <c r="D30" s="12" t="s">
        <v>26</v>
      </c>
      <c r="E30" s="11">
        <v>3.3</v>
      </c>
      <c r="F30" s="11">
        <v>2.6</v>
      </c>
      <c r="G30" s="11">
        <v>3.0</v>
      </c>
      <c r="H30" s="13" t="s">
        <v>42</v>
      </c>
      <c r="I30" s="11" t="s">
        <v>42</v>
      </c>
      <c r="J30" s="11" t="s">
        <v>42</v>
      </c>
      <c r="K30" s="14" t="s">
        <v>42</v>
      </c>
      <c r="L30" s="15">
        <f>IFERROR(__xludf.DUMMYFUNCTION("IF($D30=""Euro"",'Data in Local Currency'!E30,
IF($D30=""Dolar"",'Data in Local Currency'!E30*GOOGLEFINANCE(""Currency:USDEUR""),
IF($D30=""Franco Suíço"",'Data in Local Currency'!E30*GOOGLEFINANCE(""Currency:CHFEUR""),
IF($D30=""Libra Esterlina"", 'Data "&amp;"in Local Currency'!E30*GOOGLEFINANCE(""Currency:GBPEUR""),
IF($D30=""Iene"",'Data in Local Currency'!E30*GOOGLEFINANCE(""Currency:JPYEUR""),
IF($D30=""HKD"",'Data in Local Currency'!E30*GOOGLEFINANCE(""Currency:HKDEUR""),
IF($D30=""KRW"",'Data in Local Cu"&amp;"rrency'!E30*GOOGLEFINANCE(""Currency:KRWEUR""),"""")))))))"),9.35)</f>
        <v>9.35</v>
      </c>
      <c r="M30" s="20">
        <f>'Data in Local Currency'!F30</f>
        <v>2000</v>
      </c>
      <c r="N30" s="15">
        <f>IFERROR(__xludf.DUMMYFUNCTION("IF($D30=""Euro"",'Data in Local Currency'!G30,
IF($D30=""Dolar"",'Data in Local Currency'!G30*GOOGLEFINANCE(""Currency:USDEUR""),
IF($D30=""Franco Suíço"",'Data in Local Currency'!G30*GOOGLEFINANCE(""Currency:CHFEUR""),
IF($D30=""Libra Esterlina"", 'Data "&amp;"in Local Currency'!G30*GOOGLEFINANCE(""Currency:GBPEUR""),
IF($D30=""Iene"",'Data in Local Currency'!G30*GOOGLEFINANCE(""Currency:JPYEUR""),
IF($D30=""HKD"",'Data in Local Currency'!G30*GOOGLEFINANCE(""Currency:HKDEUR""),
IF($D30=""KRW"",'Data in Local Cu"&amp;"rrency'!G30*GOOGLEFINANCE(""Currency:KRWEUR""),"""")))))))"),12.82)</f>
        <v>12.82</v>
      </c>
      <c r="O30" s="15">
        <v>10.72</v>
      </c>
      <c r="P30" s="11">
        <v>6.71</v>
      </c>
      <c r="Q30" s="17">
        <v>0.99</v>
      </c>
      <c r="R30" s="11" t="s">
        <v>27</v>
      </c>
      <c r="S30" s="17">
        <v>0.0</v>
      </c>
    </row>
    <row r="31">
      <c r="A31" s="11" t="s">
        <v>111</v>
      </c>
      <c r="B31" s="11" t="s">
        <v>112</v>
      </c>
      <c r="C31" s="11" t="s">
        <v>113</v>
      </c>
      <c r="D31" s="12" t="s">
        <v>26</v>
      </c>
      <c r="E31" s="11">
        <v>3.9</v>
      </c>
      <c r="F31" s="11">
        <v>3.5</v>
      </c>
      <c r="G31" s="11">
        <v>3.2</v>
      </c>
      <c r="H31" s="13" t="s">
        <v>42</v>
      </c>
      <c r="I31" s="11" t="s">
        <v>42</v>
      </c>
      <c r="J31" s="11" t="s">
        <v>42</v>
      </c>
      <c r="K31" s="14" t="s">
        <v>42</v>
      </c>
      <c r="L31" s="15">
        <f>IFERROR(__xludf.DUMMYFUNCTION("IF($D31=""Euro"",'Data in Local Currency'!E31,
IF($D31=""Dolar"",'Data in Local Currency'!E31*GOOGLEFINANCE(""Currency:USDEUR""),
IF($D31=""Franco Suíço"",'Data in Local Currency'!E31*GOOGLEFINANCE(""Currency:CHFEUR""),
IF($D31=""Libra Esterlina"", 'Data "&amp;"in Local Currency'!E31*GOOGLEFINANCE(""Currency:GBPEUR""),
IF($D31=""Iene"",'Data in Local Currency'!E31*GOOGLEFINANCE(""Currency:JPYEUR""),
IF($D31=""HKD"",'Data in Local Currency'!E31*GOOGLEFINANCE(""Currency:HKDEUR""),
IF($D31=""KRW"",'Data in Local Cu"&amp;"rrency'!E31*GOOGLEFINANCE(""Currency:KRWEUR""),"""")))))))"),11.8)</f>
        <v>11.8</v>
      </c>
      <c r="M31" s="20">
        <f>'Data in Local Currency'!F31</f>
        <v>2000</v>
      </c>
      <c r="N31" s="15">
        <f>IFERROR(__xludf.DUMMYFUNCTION("IF($D31=""Euro"",'Data in Local Currency'!G31,
IF($D31=""Dolar"",'Data in Local Currency'!G31*GOOGLEFINANCE(""Currency:USDEUR""),
IF($D31=""Franco Suíço"",'Data in Local Currency'!G31*GOOGLEFINANCE(""Currency:CHFEUR""),
IF($D31=""Libra Esterlina"", 'Data "&amp;"in Local Currency'!G31*GOOGLEFINANCE(""Currency:GBPEUR""),
IF($D31=""Iene"",'Data in Local Currency'!G31*GOOGLEFINANCE(""Currency:JPYEUR""),
IF($D31=""HKD"",'Data in Local Currency'!G31*GOOGLEFINANCE(""Currency:HKDEUR""),
IF($D31=""KRW"",'Data in Local Cu"&amp;"rrency'!G31*GOOGLEFINANCE(""Currency:KRWEUR""),"""")))))))"),41.42)</f>
        <v>41.42</v>
      </c>
      <c r="O31" s="15">
        <v>28.05</v>
      </c>
      <c r="P31" s="11">
        <v>1.23</v>
      </c>
      <c r="Q31" s="17">
        <v>0.67</v>
      </c>
      <c r="R31" s="11" t="s">
        <v>32</v>
      </c>
      <c r="S31" s="17"/>
    </row>
    <row r="32">
      <c r="A32" s="11" t="s">
        <v>114</v>
      </c>
      <c r="B32" s="11" t="s">
        <v>115</v>
      </c>
      <c r="C32" s="11" t="s">
        <v>116</v>
      </c>
      <c r="D32" s="12" t="s">
        <v>31</v>
      </c>
      <c r="E32" s="11">
        <v>4.0</v>
      </c>
      <c r="F32" s="11">
        <v>3.9</v>
      </c>
      <c r="G32" s="11">
        <v>3.6</v>
      </c>
      <c r="H32" s="13">
        <v>3.8</v>
      </c>
      <c r="I32" s="11">
        <v>22.0</v>
      </c>
      <c r="J32" s="11">
        <v>80.0</v>
      </c>
      <c r="K32" s="14">
        <v>71.0</v>
      </c>
      <c r="L32" s="15">
        <f>IFERROR(__xludf.DUMMYFUNCTION("IF($D32=""Euro"",'Data in Local Currency'!E32,
IF($D32=""Dolar"",'Data in Local Currency'!E32*GOOGLEFINANCE(""Currency:USDEUR""),
IF($D32=""Franco Suíço"",'Data in Local Currency'!E32*GOOGLEFINANCE(""Currency:CHFEUR""),
IF($D32=""Libra Esterlina"", 'Data "&amp;"in Local Currency'!E32*GOOGLEFINANCE(""Currency:GBPEUR""),
IF($D32=""Iene"",'Data in Local Currency'!E32*GOOGLEFINANCE(""Currency:JPYEUR""),
IF($D32=""HKD"",'Data in Local Currency'!E32*GOOGLEFINANCE(""Currency:HKDEUR""),
IF($D32=""KRW"",'Data in Local Cu"&amp;"rrency'!E32*GOOGLEFINANCE(""Currency:KRWEUR""),"""")))))))"),5.803938)</f>
        <v>5.803938</v>
      </c>
      <c r="M32" s="20">
        <f>'Data in Local Currency'!F32</f>
        <v>2004</v>
      </c>
      <c r="N32" s="15">
        <f>IFERROR(__xludf.DUMMYFUNCTION("IF($D32=""Euro"",'Data in Local Currency'!G32,
IF($D32=""Dolar"",'Data in Local Currency'!G32*GOOGLEFINANCE(""Currency:USDEUR""),
IF($D32=""Franco Suíço"",'Data in Local Currency'!G32*GOOGLEFINANCE(""Currency:CHFEUR""),
IF($D32=""Libra Esterlina"", 'Data "&amp;"in Local Currency'!G32*GOOGLEFINANCE(""Currency:GBPEUR""),
IF($D32=""Iene"",'Data in Local Currency'!G32*GOOGLEFINANCE(""Currency:JPYEUR""),
IF($D32=""HKD"",'Data in Local Currency'!G32*GOOGLEFINANCE(""Currency:HKDEUR""),
IF($D32=""KRW"",'Data in Local Cu"&amp;"rrency'!G32*GOOGLEFINANCE(""Currency:KRWEUR""),"""")))))))"),32.938038)</f>
        <v>32.938038</v>
      </c>
      <c r="O32" s="15">
        <v>81.43</v>
      </c>
      <c r="P32" s="11">
        <v>25.27</v>
      </c>
      <c r="Q32" s="17"/>
      <c r="R32" s="11" t="s">
        <v>27</v>
      </c>
      <c r="S32" s="17">
        <v>2.0</v>
      </c>
    </row>
    <row r="33">
      <c r="A33" s="11" t="s">
        <v>117</v>
      </c>
      <c r="B33" s="11" t="s">
        <v>118</v>
      </c>
      <c r="C33" s="11" t="s">
        <v>119</v>
      </c>
      <c r="D33" s="12" t="s">
        <v>31</v>
      </c>
      <c r="E33" s="11">
        <v>4.1</v>
      </c>
      <c r="F33" s="11">
        <v>4.0</v>
      </c>
      <c r="G33" s="11">
        <v>3.6</v>
      </c>
      <c r="H33" s="13">
        <v>4.4</v>
      </c>
      <c r="I33" s="11">
        <v>29.0</v>
      </c>
      <c r="J33" s="11">
        <v>82.0</v>
      </c>
      <c r="K33" s="14">
        <v>70.0</v>
      </c>
      <c r="L33" s="15">
        <f>IFERROR(__xludf.DUMMYFUNCTION("IF($D33=""Euro"",'Data in Local Currency'!E33,
IF($D33=""Dolar"",'Data in Local Currency'!E33*GOOGLEFINANCE(""Currency:USDEUR""),
IF($D33=""Franco Suíço"",'Data in Local Currency'!E33*GOOGLEFINANCE(""Currency:CHFEUR""),
IF($D33=""Libra Esterlina"", 'Data "&amp;"in Local Currency'!E33*GOOGLEFINANCE(""Currency:GBPEUR""),
IF($D33=""Iene"",'Data in Local Currency'!E33*GOOGLEFINANCE(""Currency:JPYEUR""),
IF($D33=""HKD"",'Data in Local Currency'!E33*GOOGLEFINANCE(""Currency:HKDEUR""),
IF($D33=""KRW"",'Data in Local Cu"&amp;"rrency'!E33*GOOGLEFINANCE(""Currency:KRWEUR""),"""")))))))"),0.43230599999999997)</f>
        <v>0.432306</v>
      </c>
      <c r="M33" s="20">
        <f>'Data in Local Currency'!F33</f>
        <v>1984</v>
      </c>
      <c r="N33" s="15">
        <f>IFERROR(__xludf.DUMMYFUNCTION("IF($D33=""Euro"",'Data in Local Currency'!G33,
IF($D33=""Dolar"",'Data in Local Currency'!G33*GOOGLEFINANCE(""Currency:USDEUR""),
IF($D33=""Franco Suíço"",'Data in Local Currency'!G33*GOOGLEFINANCE(""Currency:CHFEUR""),
IF($D33=""Libra Esterlina"", 'Data "&amp;"in Local Currency'!G33*GOOGLEFINANCE(""Currency:GBPEUR""),
IF($D33=""Iene"",'Data in Local Currency'!G33*GOOGLEFINANCE(""Currency:JPYEUR""),
IF($D33=""HKD"",'Data in Local Currency'!G33*GOOGLEFINANCE(""Currency:HKDEUR""),
IF($D33=""KRW"",'Data in Local Cu"&amp;"rrency'!G33*GOOGLEFINANCE(""Currency:KRWEUR""),"""")))))))"),76.426182)</f>
        <v>76.426182</v>
      </c>
      <c r="O33" s="15">
        <v>98.3</v>
      </c>
      <c r="P33" s="11">
        <v>27.43</v>
      </c>
      <c r="Q33" s="17">
        <v>7.5</v>
      </c>
      <c r="R33" s="11" t="s">
        <v>32</v>
      </c>
      <c r="S33" s="17"/>
    </row>
    <row r="34">
      <c r="A34" s="11" t="s">
        <v>120</v>
      </c>
      <c r="B34" s="11" t="s">
        <v>121</v>
      </c>
      <c r="C34" s="11" t="s">
        <v>122</v>
      </c>
      <c r="D34" s="12" t="s">
        <v>26</v>
      </c>
      <c r="E34" s="11">
        <v>3.8</v>
      </c>
      <c r="F34" s="11">
        <v>3.8</v>
      </c>
      <c r="G34" s="11">
        <v>3.4</v>
      </c>
      <c r="H34" s="13">
        <v>3.3</v>
      </c>
      <c r="I34" s="11">
        <v>34.0</v>
      </c>
      <c r="J34" s="11">
        <v>60.0</v>
      </c>
      <c r="K34" s="14">
        <v>67.0</v>
      </c>
      <c r="L34" s="15">
        <f>IFERROR(__xludf.DUMMYFUNCTION("IF($D34=""Euro"",'Data in Local Currency'!E34,
IF($D34=""Dolar"",'Data in Local Currency'!E34*GOOGLEFINANCE(""Currency:USDEUR""),
IF($D34=""Franco Suíço"",'Data in Local Currency'!E34*GOOGLEFINANCE(""Currency:CHFEUR""),
IF($D34=""Libra Esterlina"", 'Data "&amp;"in Local Currency'!E34*GOOGLEFINANCE(""Currency:GBPEUR""),
IF($D34=""Iene"",'Data in Local Currency'!E34*GOOGLEFINANCE(""Currency:JPYEUR""),
IF($D34=""HKD"",'Data in Local Currency'!E34*GOOGLEFINANCE(""Currency:HKDEUR""),
IF($D34=""KRW"",'Data in Local Cu"&amp;"rrency'!E34*GOOGLEFINANCE(""Currency:KRWEUR""),"""")))))))"),23.21)</f>
        <v>23.21</v>
      </c>
      <c r="M34" s="20">
        <f>'Data in Local Currency'!F34</f>
        <v>2000</v>
      </c>
      <c r="N34" s="15">
        <f>IFERROR(__xludf.DUMMYFUNCTION("IF($D34=""Euro"",'Data in Local Currency'!G34,
IF($D34=""Dolar"",'Data in Local Currency'!G34*GOOGLEFINANCE(""Currency:USDEUR""),
IF($D34=""Franco Suíço"",'Data in Local Currency'!G34*GOOGLEFINANCE(""Currency:CHFEUR""),
IF($D34=""Libra Esterlina"", 'Data "&amp;"in Local Currency'!G34*GOOGLEFINANCE(""Currency:GBPEUR""),
IF($D34=""Iene"",'Data in Local Currency'!G34*GOOGLEFINANCE(""Currency:JPYEUR""),
IF($D34=""HKD"",'Data in Local Currency'!G34*GOOGLEFINANCE(""Currency:HKDEUR""),
IF($D34=""KRW"",'Data in Local Cu"&amp;"rrency'!G34*GOOGLEFINANCE(""Currency:KRWEUR""),"""")))))))"),103.4)</f>
        <v>103.4</v>
      </c>
      <c r="O34" s="15">
        <v>54.44</v>
      </c>
      <c r="P34" s="11">
        <v>49.46</v>
      </c>
      <c r="Q34" s="17">
        <v>17.49</v>
      </c>
      <c r="R34" s="11" t="s">
        <v>32</v>
      </c>
      <c r="S34" s="17"/>
    </row>
    <row r="35">
      <c r="A35" s="11" t="s">
        <v>123</v>
      </c>
      <c r="B35" s="11" t="s">
        <v>124</v>
      </c>
      <c r="C35" s="11" t="s">
        <v>125</v>
      </c>
      <c r="D35" s="12" t="s">
        <v>126</v>
      </c>
      <c r="E35" s="11">
        <v>3.8</v>
      </c>
      <c r="F35" s="11">
        <v>3.4</v>
      </c>
      <c r="G35" s="11">
        <v>3.4</v>
      </c>
      <c r="H35" s="13" t="s">
        <v>42</v>
      </c>
      <c r="I35" s="11" t="s">
        <v>42</v>
      </c>
      <c r="J35" s="11" t="s">
        <v>42</v>
      </c>
      <c r="K35" s="14" t="s">
        <v>42</v>
      </c>
      <c r="L35" s="15">
        <f>IFERROR(__xludf.DUMMYFUNCTION("IF($D35=""Euro"",'Data in Local Currency'!E35,
IF($D35=""Dolar"",'Data in Local Currency'!E35*GOOGLEFINANCE(""Currency:USDEUR""),
IF($D35=""Franco Suíço"",'Data in Local Currency'!E35*GOOGLEFINANCE(""Currency:CHFEUR""),
IF($D35=""Libra Esterlina"", 'Data "&amp;"in Local Currency'!E35*GOOGLEFINANCE(""Currency:GBPEUR""),
IF($D35=""Iene"",'Data in Local Currency'!E35*GOOGLEFINANCE(""Currency:JPYEUR""),
IF($D35=""HKD"",'Data in Local Currency'!E35*GOOGLEFINANCE(""Currency:HKDEUR""),
IF($D35=""KRW"",'Data in Local Cu"&amp;"rrency'!E35*GOOGLEFINANCE(""Currency:KRWEUR""),"""")))))))"),79.3906188)</f>
        <v>79.3906188</v>
      </c>
      <c r="M35" s="20">
        <f>'Data in Local Currency'!F35</f>
        <v>2000</v>
      </c>
      <c r="N35" s="15">
        <f>IFERROR(__xludf.DUMMYFUNCTION("IF($D35=""Euro"",'Data in Local Currency'!G35,
IF($D35=""Dolar"",'Data in Local Currency'!G35*GOOGLEFINANCE(""Currency:USDEUR""),
IF($D35=""Franco Suíço"",'Data in Local Currency'!G35*GOOGLEFINANCE(""Currency:CHFEUR""),
IF($D35=""Libra Esterlina"", 'Data "&amp;"in Local Currency'!G35*GOOGLEFINANCE(""Currency:GBPEUR""),
IF($D35=""Iene"",'Data in Local Currency'!G35*GOOGLEFINANCE(""Currency:JPYEUR""),
IF($D35=""HKD"",'Data in Local Currency'!G35*GOOGLEFINANCE(""Currency:HKDEUR""),
IF($D35=""KRW"",'Data in Local Cu"&amp;"rrency'!G35*GOOGLEFINANCE(""Currency:KRWEUR""),"""")))))))"),168.09294102)</f>
        <v>168.092941</v>
      </c>
      <c r="O35" s="15">
        <v>156.6</v>
      </c>
      <c r="P35" s="11">
        <v>4.06</v>
      </c>
      <c r="Q35" s="17">
        <v>1.16</v>
      </c>
      <c r="R35" s="11" t="s">
        <v>32</v>
      </c>
      <c r="S35" s="17"/>
    </row>
    <row r="36">
      <c r="A36" s="11" t="s">
        <v>127</v>
      </c>
      <c r="B36" s="11" t="s">
        <v>128</v>
      </c>
      <c r="C36" s="11" t="s">
        <v>129</v>
      </c>
      <c r="D36" s="12" t="s">
        <v>26</v>
      </c>
      <c r="E36" s="11">
        <v>4.4</v>
      </c>
      <c r="F36" s="11">
        <v>4.1</v>
      </c>
      <c r="G36" s="11">
        <v>3.9</v>
      </c>
      <c r="H36" s="13" t="s">
        <v>42</v>
      </c>
      <c r="I36" s="11" t="s">
        <v>42</v>
      </c>
      <c r="J36" s="11" t="s">
        <v>42</v>
      </c>
      <c r="K36" s="14" t="s">
        <v>42</v>
      </c>
      <c r="L36" s="15">
        <f>IFERROR(__xludf.DUMMYFUNCTION("IF($D36=""Euro"",'Data in Local Currency'!E36,
IF($D36=""Dolar"",'Data in Local Currency'!E36*GOOGLEFINANCE(""Currency:USDEUR""),
IF($D36=""Franco Suíço"",'Data in Local Currency'!E36*GOOGLEFINANCE(""Currency:CHFEUR""),
IF($D36=""Libra Esterlina"", 'Data "&amp;"in Local Currency'!E36*GOOGLEFINANCE(""Currency:GBPEUR""),
IF($D36=""Iene"",'Data in Local Currency'!E36*GOOGLEFINANCE(""Currency:JPYEUR""),
IF($D36=""HKD"",'Data in Local Currency'!E36*GOOGLEFINANCE(""Currency:HKDEUR""),
IF($D36=""KRW"",'Data in Local Cu"&amp;"rrency'!E36*GOOGLEFINANCE(""Currency:KRWEUR""),"""")))))))"),19.1)</f>
        <v>19.1</v>
      </c>
      <c r="M36" s="20">
        <f>'Data in Local Currency'!F36</f>
        <v>2004</v>
      </c>
      <c r="N36" s="15">
        <f>IFERROR(__xludf.DUMMYFUNCTION("IF($D36=""Euro"",'Data in Local Currency'!G36,
IF($D36=""Dolar"",'Data in Local Currency'!G36*GOOGLEFINANCE(""Currency:USDEUR""),
IF($D36=""Franco Suíço"",'Data in Local Currency'!G36*GOOGLEFINANCE(""Currency:CHFEUR""),
IF($D36=""Libra Esterlina"", 'Data "&amp;"in Local Currency'!G36*GOOGLEFINANCE(""Currency:GBPEUR""),
IF($D36=""Iene"",'Data in Local Currency'!G36*GOOGLEFINANCE(""Currency:JPYEUR""),
IF($D36=""HKD"",'Data in Local Currency'!G36*GOOGLEFINANCE(""Currency:HKDEUR""),
IF($D36=""KRW"",'Data in Local Cu"&amp;"rrency'!G36*GOOGLEFINANCE(""Currency:KRWEUR""),"""")))))))"),7.28)</f>
        <v>7.28</v>
      </c>
      <c r="O36" s="15">
        <v>9.9</v>
      </c>
      <c r="P36" s="11">
        <v>0.38</v>
      </c>
      <c r="Q36" s="17">
        <v>0.04</v>
      </c>
      <c r="R36" s="11" t="s">
        <v>32</v>
      </c>
      <c r="S36" s="17"/>
    </row>
    <row r="37">
      <c r="A37" s="11" t="s">
        <v>130</v>
      </c>
      <c r="B37" s="11" t="s">
        <v>131</v>
      </c>
      <c r="C37" s="11" t="s">
        <v>132</v>
      </c>
      <c r="D37" s="12" t="s">
        <v>26</v>
      </c>
      <c r="E37" s="11">
        <v>4.1</v>
      </c>
      <c r="F37" s="11">
        <v>4.0</v>
      </c>
      <c r="G37" s="11">
        <v>3.7</v>
      </c>
      <c r="H37" s="13">
        <v>4.5</v>
      </c>
      <c r="I37" s="11">
        <v>6.0</v>
      </c>
      <c r="J37" s="11">
        <v>81.0</v>
      </c>
      <c r="K37" s="14">
        <v>72.0</v>
      </c>
      <c r="L37" s="15">
        <f>IFERROR(__xludf.DUMMYFUNCTION("IF($D37=""Euro"",'Data in Local Currency'!E37,
IF($D37=""Dolar"",'Data in Local Currency'!E37*GOOGLEFINANCE(""Currency:USDEUR""),
IF($D37=""Franco Suíço"",'Data in Local Currency'!E37*GOOGLEFINANCE(""Currency:CHFEUR""),
IF($D37=""Libra Esterlina"", 'Data "&amp;"in Local Currency'!E37*GOOGLEFINANCE(""Currency:GBPEUR""),
IF($D37=""Iene"",'Data in Local Currency'!E37*GOOGLEFINANCE(""Currency:JPYEUR""),
IF($D37=""HKD"",'Data in Local Currency'!E37*GOOGLEFINANCE(""Currency:HKDEUR""),
IF($D37=""KRW"",'Data in Local Cu"&amp;"rrency'!E37*GOOGLEFINANCE(""Currency:KRWEUR""),"""")))))))"),167.5)</f>
        <v>167.5</v>
      </c>
      <c r="M37" s="20">
        <f>'Data in Local Currency'!F37</f>
        <v>2000</v>
      </c>
      <c r="N37" s="15">
        <f>IFERROR(__xludf.DUMMYFUNCTION("IF($D37=""Euro"",'Data in Local Currency'!G37,
IF($D37=""Dolar"",'Data in Local Currency'!G37*GOOGLEFINANCE(""Currency:USDEUR""),
IF($D37=""Franco Suíço"",'Data in Local Currency'!G37*GOOGLEFINANCE(""Currency:CHFEUR""),
IF($D37=""Libra Esterlina"", 'Data "&amp;"in Local Currency'!G37*GOOGLEFINANCE(""Currency:GBPEUR""),
IF($D37=""Iene"",'Data in Local Currency'!G37*GOOGLEFINANCE(""Currency:JPYEUR""),
IF($D37=""HKD"",'Data in Local Currency'!G37*GOOGLEFINANCE(""Currency:HKDEUR""),
IF($D37=""KRW"",'Data in Local Cu"&amp;"rrency'!G37*GOOGLEFINANCE(""Currency:KRWEUR""),"""")))))))"),14.2)</f>
        <v>14.2</v>
      </c>
      <c r="O37" s="15">
        <v>10.69</v>
      </c>
      <c r="P37" s="11">
        <v>42.52</v>
      </c>
      <c r="Q37" s="17">
        <v>12.31</v>
      </c>
      <c r="R37" s="11" t="s">
        <v>27</v>
      </c>
      <c r="S37" s="17">
        <v>6.0</v>
      </c>
    </row>
    <row r="38">
      <c r="A38" s="11" t="s">
        <v>133</v>
      </c>
      <c r="B38" s="11" t="s">
        <v>134</v>
      </c>
      <c r="C38" s="11" t="s">
        <v>135</v>
      </c>
      <c r="D38" s="12" t="s">
        <v>31</v>
      </c>
      <c r="E38" s="11">
        <v>4.2</v>
      </c>
      <c r="F38" s="11">
        <v>4.2</v>
      </c>
      <c r="G38" s="11">
        <v>3.8</v>
      </c>
      <c r="H38" s="13">
        <v>4.2</v>
      </c>
      <c r="I38" s="11">
        <v>18.0</v>
      </c>
      <c r="J38" s="11">
        <v>80.0</v>
      </c>
      <c r="K38" s="14">
        <v>65.0</v>
      </c>
      <c r="L38" s="15">
        <f>IFERROR(__xludf.DUMMYFUNCTION("IF($D38=""Euro"",'Data in Local Currency'!E38,
IF($D38=""Dolar"",'Data in Local Currency'!E38*GOOGLEFINANCE(""Currency:USDEUR""),
IF($D38=""Franco Suíço"",'Data in Local Currency'!E38*GOOGLEFINANCE(""Currency:CHFEUR""),
IF($D38=""Libra Esterlina"", 'Data "&amp;"in Local Currency'!E38*GOOGLEFINANCE(""Currency:GBPEUR""),
IF($D38=""Iene"",'Data in Local Currency'!E38*GOOGLEFINANCE(""Currency:JPYEUR""),
IF($D38=""HKD"",'Data in Local Currency'!E38*GOOGLEFINANCE(""Currency:HKDEUR""),
IF($D38=""KRW"",'Data in Local Cu"&amp;"rrency'!E38*GOOGLEFINANCE(""Currency:KRWEUR""),"""")))))))"),2.143134)</f>
        <v>2.143134</v>
      </c>
      <c r="M38" s="20">
        <f>'Data in Local Currency'!F38</f>
        <v>1984</v>
      </c>
      <c r="N38" s="15">
        <f>IFERROR(__xludf.DUMMYFUNCTION("IF($D38=""Euro"",'Data in Local Currency'!G38,
IF($D38=""Dolar"",'Data in Local Currency'!G38*GOOGLEFINANCE(""Currency:USDEUR""),
IF($D38=""Franco Suíço"",'Data in Local Currency'!G38*GOOGLEFINANCE(""Currency:CHFEUR""),
IF($D38=""Libra Esterlina"", 'Data "&amp;"in Local Currency'!G38*GOOGLEFINANCE(""Currency:GBPEUR""),
IF($D38=""Iene"",'Data in Local Currency'!G38*GOOGLEFINANCE(""Currency:JPYEUR""),
IF($D38=""HKD"",'Data in Local Currency'!G38*GOOGLEFINANCE(""Currency:HKDEUR""),
IF($D38=""KRW"",'Data in Local Cu"&amp;"rrency'!G38*GOOGLEFINANCE(""Currency:KRWEUR""),"""")))))))"),133.23302999999999)</f>
        <v>133.23303</v>
      </c>
      <c r="O38" s="15">
        <v>493.22</v>
      </c>
      <c r="P38" s="11">
        <v>13.32</v>
      </c>
      <c r="Q38" s="17">
        <v>4.35</v>
      </c>
      <c r="R38" s="11" t="s">
        <v>32</v>
      </c>
      <c r="S38" s="17"/>
    </row>
    <row r="39">
      <c r="A39" s="11" t="s">
        <v>136</v>
      </c>
      <c r="B39" s="11" t="s">
        <v>137</v>
      </c>
      <c r="C39" s="11" t="s">
        <v>138</v>
      </c>
      <c r="D39" s="12" t="s">
        <v>26</v>
      </c>
      <c r="E39" s="11">
        <v>3.8</v>
      </c>
      <c r="F39" s="11">
        <v>3.7</v>
      </c>
      <c r="G39" s="11">
        <v>3.5</v>
      </c>
      <c r="H39" s="13" t="s">
        <v>42</v>
      </c>
      <c r="I39" s="11" t="s">
        <v>42</v>
      </c>
      <c r="J39" s="11" t="s">
        <v>42</v>
      </c>
      <c r="K39" s="14" t="s">
        <v>42</v>
      </c>
      <c r="L39" s="15">
        <f>IFERROR(__xludf.DUMMYFUNCTION("IF($D39=""Euro"",'Data in Local Currency'!E39,
IF($D39=""Dolar"",'Data in Local Currency'!E39*GOOGLEFINANCE(""Currency:USDEUR""),
IF($D39=""Franco Suíço"",'Data in Local Currency'!E39*GOOGLEFINANCE(""Currency:CHFEUR""),
IF($D39=""Libra Esterlina"", 'Data "&amp;"in Local Currency'!E39*GOOGLEFINANCE(""Currency:GBPEUR""),
IF($D39=""Iene"",'Data in Local Currency'!E39*GOOGLEFINANCE(""Currency:JPYEUR""),
IF($D39=""HKD"",'Data in Local Currency'!E39*GOOGLEFINANCE(""Currency:HKDEUR""),
IF($D39=""KRW"",'Data in Local Cu"&amp;"rrency'!E39*GOOGLEFINANCE(""Currency:KRWEUR""),"""")))))))"),13.56)</f>
        <v>13.56</v>
      </c>
      <c r="M39" s="20">
        <f>'Data in Local Currency'!F39</f>
        <v>1987</v>
      </c>
      <c r="N39" s="15">
        <f>IFERROR(__xludf.DUMMYFUNCTION("IF($D39=""Euro"",'Data in Local Currency'!G39,
IF($D39=""Dolar"",'Data in Local Currency'!G39*GOOGLEFINANCE(""Currency:USDEUR""),
IF($D39=""Franco Suíço"",'Data in Local Currency'!G39*GOOGLEFINANCE(""Currency:CHFEUR""),
IF($D39=""Libra Esterlina"", 'Data "&amp;"in Local Currency'!G39*GOOGLEFINANCE(""Currency:GBPEUR""),
IF($D39=""Iene"",'Data in Local Currency'!G39*GOOGLEFINANCE(""Currency:JPYEUR""),
IF($D39=""HKD"",'Data in Local Currency'!G39*GOOGLEFINANCE(""Currency:HKDEUR""),
IF($D39=""KRW"",'Data in Local Cu"&amp;"rrency'!G39*GOOGLEFINANCE(""Currency:KRWEUR""),"""")))))))"),14.53)</f>
        <v>14.53</v>
      </c>
      <c r="O39" s="15">
        <v>18.82</v>
      </c>
      <c r="P39" s="11">
        <v>97.2</v>
      </c>
      <c r="Q39" s="17"/>
      <c r="R39" s="11" t="s">
        <v>27</v>
      </c>
      <c r="S39" s="17">
        <v>0.0</v>
      </c>
    </row>
    <row r="40">
      <c r="A40" s="11" t="s">
        <v>139</v>
      </c>
      <c r="B40" s="11" t="s">
        <v>140</v>
      </c>
      <c r="C40" s="11" t="s">
        <v>141</v>
      </c>
      <c r="D40" s="12" t="s">
        <v>26</v>
      </c>
      <c r="E40" s="11">
        <v>4.3</v>
      </c>
      <c r="F40" s="11">
        <v>4.3</v>
      </c>
      <c r="G40" s="11">
        <v>4.0</v>
      </c>
      <c r="H40" s="13" t="s">
        <v>42</v>
      </c>
      <c r="I40" s="11" t="s">
        <v>42</v>
      </c>
      <c r="J40" s="11" t="s">
        <v>42</v>
      </c>
      <c r="K40" s="14" t="s">
        <v>42</v>
      </c>
      <c r="L40" s="15">
        <f>IFERROR(__xludf.DUMMYFUNCTION("IF($D40=""Euro"",'Data in Local Currency'!E40,
IF($D40=""Dolar"",'Data in Local Currency'!E40*GOOGLEFINANCE(""Currency:USDEUR""),
IF($D40=""Franco Suíço"",'Data in Local Currency'!E40*GOOGLEFINANCE(""Currency:CHFEUR""),
IF($D40=""Libra Esterlina"", 'Data "&amp;"in Local Currency'!E40*GOOGLEFINANCE(""Currency:GBPEUR""),
IF($D40=""Iene"",'Data in Local Currency'!E40*GOOGLEFINANCE(""Currency:JPYEUR""),
IF($D40=""HKD"",'Data in Local Currency'!E40*GOOGLEFINANCE(""Currency:HKDEUR""),
IF($D40=""KRW"",'Data in Local Cu"&amp;"rrency'!E40*GOOGLEFINANCE(""Currency:KRWEUR""),"""")))))))"),31.8)</f>
        <v>31.8</v>
      </c>
      <c r="M40" s="20">
        <f>'Data in Local Currency'!F40</f>
        <v>2001</v>
      </c>
      <c r="N40" s="15">
        <f>IFERROR(__xludf.DUMMYFUNCTION("IF($D40=""Euro"",'Data in Local Currency'!G40,
IF($D40=""Dolar"",'Data in Local Currency'!G40*GOOGLEFINANCE(""Currency:USDEUR""),
IF($D40=""Franco Suíço"",'Data in Local Currency'!G40*GOOGLEFINANCE(""Currency:CHFEUR""),
IF($D40=""Libra Esterlina"", 'Data "&amp;"in Local Currency'!G40*GOOGLEFINANCE(""Currency:GBPEUR""),
IF($D40=""Iene"",'Data in Local Currency'!G40*GOOGLEFINANCE(""Currency:JPYEUR""),
IF($D40=""HKD"",'Data in Local Currency'!G40*GOOGLEFINANCE(""Currency:HKDEUR""),
IF($D40=""KRW"",'Data in Local Cu"&amp;"rrency'!G40*GOOGLEFINANCE(""Currency:KRWEUR""),"""")))))))"),89.85)</f>
        <v>89.85</v>
      </c>
      <c r="O40" s="15">
        <v>163.65</v>
      </c>
      <c r="P40" s="11">
        <v>4.63</v>
      </c>
      <c r="Q40" s="17">
        <v>2.04</v>
      </c>
      <c r="R40" s="11" t="s">
        <v>27</v>
      </c>
      <c r="S40" s="17">
        <v>1.0</v>
      </c>
    </row>
    <row r="41">
      <c r="A41" s="11" t="s">
        <v>142</v>
      </c>
      <c r="B41" s="11" t="s">
        <v>143</v>
      </c>
      <c r="C41" s="11" t="s">
        <v>144</v>
      </c>
      <c r="D41" s="12" t="s">
        <v>31</v>
      </c>
      <c r="E41" s="11">
        <v>3.7</v>
      </c>
      <c r="F41" s="11">
        <v>3.5</v>
      </c>
      <c r="G41" s="11">
        <v>3.4</v>
      </c>
      <c r="H41" s="13">
        <v>2.6</v>
      </c>
      <c r="I41" s="11">
        <v>14.0</v>
      </c>
      <c r="J41" s="11">
        <v>61.0</v>
      </c>
      <c r="K41" s="14">
        <v>60.0</v>
      </c>
      <c r="L41" s="15">
        <f>IFERROR(__xludf.DUMMYFUNCTION("IF($D41=""Euro"",'Data in Local Currency'!E41,
IF($D41=""Dolar"",'Data in Local Currency'!E41*GOOGLEFINANCE(""Currency:USDEUR""),
IF($D41=""Franco Suíço"",'Data in Local Currency'!E41*GOOGLEFINANCE(""Currency:CHFEUR""),
IF($D41=""Libra Esterlina"", 'Data "&amp;"in Local Currency'!E41*GOOGLEFINANCE(""Currency:GBPEUR""),
IF($D41=""Iene"",'Data in Local Currency'!E41*GOOGLEFINANCE(""Currency:JPYEUR""),
IF($D41=""HKD"",'Data in Local Currency'!E41*GOOGLEFINANCE(""Currency:HKDEUR""),
IF($D41=""KRW"",'Data in Local Cu"&amp;"rrency'!E41*GOOGLEFINANCE(""Currency:KRWEUR""),"""")))))))"),8.508149999999999)</f>
        <v>8.50815</v>
      </c>
      <c r="M41" s="20">
        <f>'Data in Local Currency'!F41</f>
        <v>1995</v>
      </c>
      <c r="N41" s="15">
        <f>IFERROR(__xludf.DUMMYFUNCTION("IF($D41=""Euro"",'Data in Local Currency'!G41,
IF($D41=""Dolar"",'Data in Local Currency'!G41*GOOGLEFINANCE(""Currency:USDEUR""),
IF($D41=""Franco Suíço"",'Data in Local Currency'!G41*GOOGLEFINANCE(""Currency:CHFEUR""),
IF($D41=""Libra Esterlina"", 'Data "&amp;"in Local Currency'!G41*GOOGLEFINANCE(""Currency:GBPEUR""),
IF($D41=""Iene"",'Data in Local Currency'!G41*GOOGLEFINANCE(""Currency:JPYEUR""),
IF($D41=""HKD"",'Data in Local Currency'!G41*GOOGLEFINANCE(""Currency:HKDEUR""),
IF($D41=""KRW"",'Data in Local Cu"&amp;"rrency'!G41*GOOGLEFINANCE(""Currency:KRWEUR""),"""")))))))"),77.162022)</f>
        <v>77.162022</v>
      </c>
      <c r="O41" s="15">
        <v>86.32</v>
      </c>
      <c r="P41" s="11">
        <v>7.12</v>
      </c>
      <c r="Q41" s="17">
        <v>1.32</v>
      </c>
      <c r="R41" s="11" t="s">
        <v>32</v>
      </c>
      <c r="S41" s="17"/>
    </row>
    <row r="42">
      <c r="A42" s="11" t="s">
        <v>145</v>
      </c>
      <c r="B42" s="11" t="s">
        <v>146</v>
      </c>
      <c r="C42" s="11" t="s">
        <v>147</v>
      </c>
      <c r="D42" s="12" t="s">
        <v>126</v>
      </c>
      <c r="E42" s="11">
        <v>4.1</v>
      </c>
      <c r="F42" s="11">
        <v>3.8</v>
      </c>
      <c r="G42" s="11">
        <v>3.4</v>
      </c>
      <c r="H42" s="13">
        <v>4.6</v>
      </c>
      <c r="I42" s="11">
        <v>40.0</v>
      </c>
      <c r="J42" s="11">
        <v>85.0</v>
      </c>
      <c r="K42" s="14">
        <v>77.0</v>
      </c>
      <c r="L42" s="15">
        <f>IFERROR(__xludf.DUMMYFUNCTION("IF($D42=""Euro"",'Data in Local Currency'!E42,
IF($D42=""Dolar"",'Data in Local Currency'!E42*GOOGLEFINANCE(""Currency:USDEUR""),
IF($D42=""Franco Suíço"",'Data in Local Currency'!E42*GOOGLEFINANCE(""Currency:CHFEUR""),
IF($D42=""Libra Esterlina"", 'Data "&amp;"in Local Currency'!E42*GOOGLEFINANCE(""Currency:GBPEUR""),
IF($D42=""Iene"",'Data in Local Currency'!E42*GOOGLEFINANCE(""Currency:JPYEUR""),
IF($D42=""HKD"",'Data in Local Currency'!E42*GOOGLEFINANCE(""Currency:HKDEUR""),
IF($D42=""KRW"",'Data in Local Cu"&amp;"rrency'!E42*GOOGLEFINANCE(""Currency:KRWEUR""),"""")))))))"),3.605966424)</f>
        <v>3.605966424</v>
      </c>
      <c r="M42" s="20">
        <f>'Data in Local Currency'!F42</f>
        <v>2000</v>
      </c>
      <c r="N42" s="15">
        <f>IFERROR(__xludf.DUMMYFUNCTION("IF($D42=""Euro"",'Data in Local Currency'!G42,
IF($D42=""Dolar"",'Data in Local Currency'!G42*GOOGLEFINANCE(""Currency:USDEUR""),
IF($D42=""Franco Suíço"",'Data in Local Currency'!G42*GOOGLEFINANCE(""Currency:CHFEUR""),
IF($D42=""Libra Esterlina"", 'Data "&amp;"in Local Currency'!G42*GOOGLEFINANCE(""Currency:GBPEUR""),
IF($D42=""Iene"",'Data in Local Currency'!G42*GOOGLEFINANCE(""Currency:JPYEUR""),
IF($D42=""HKD"",'Data in Local Currency'!G42*GOOGLEFINANCE(""Currency:HKDEUR""),
IF($D42=""KRW"",'Data in Local Cu"&amp;"rrency'!G42*GOOGLEFINANCE(""Currency:KRWEUR""),"""")))))))"),22.051300848)</f>
        <v>22.05130085</v>
      </c>
      <c r="O42" s="15">
        <v>21.47</v>
      </c>
      <c r="P42" s="11">
        <v>16.14</v>
      </c>
      <c r="Q42" s="17">
        <v>2.24</v>
      </c>
      <c r="R42" s="11" t="s">
        <v>27</v>
      </c>
      <c r="S42" s="17">
        <v>1.0</v>
      </c>
    </row>
    <row r="43">
      <c r="A43" s="11" t="s">
        <v>148</v>
      </c>
      <c r="B43" s="11" t="s">
        <v>149</v>
      </c>
      <c r="C43" s="11" t="s">
        <v>150</v>
      </c>
      <c r="D43" s="12" t="s">
        <v>26</v>
      </c>
      <c r="E43" s="11">
        <v>3.7</v>
      </c>
      <c r="F43" s="11">
        <v>3.5</v>
      </c>
      <c r="G43" s="11">
        <v>3.3</v>
      </c>
      <c r="H43" s="13" t="s">
        <v>42</v>
      </c>
      <c r="I43" s="11" t="s">
        <v>42</v>
      </c>
      <c r="J43" s="11" t="s">
        <v>42</v>
      </c>
      <c r="K43" s="14" t="s">
        <v>42</v>
      </c>
      <c r="L43" s="15">
        <f>IFERROR(__xludf.DUMMYFUNCTION("IF($D43=""Euro"",'Data in Local Currency'!E43,
IF($D43=""Dolar"",'Data in Local Currency'!E43*GOOGLEFINANCE(""Currency:USDEUR""),
IF($D43=""Franco Suíço"",'Data in Local Currency'!E43*GOOGLEFINANCE(""Currency:CHFEUR""),
IF($D43=""Libra Esterlina"", 'Data "&amp;"in Local Currency'!E43*GOOGLEFINANCE(""Currency:GBPEUR""),
IF($D43=""Iene"",'Data in Local Currency'!E43*GOOGLEFINANCE(""Currency:JPYEUR""),
IF($D43=""HKD"",'Data in Local Currency'!E43*GOOGLEFINANCE(""Currency:HKDEUR""),
IF($D43=""KRW"",'Data in Local Cu"&amp;"rrency'!E43*GOOGLEFINANCE(""Currency:KRWEUR""),"""")))))))"),15.42)</f>
        <v>15.42</v>
      </c>
      <c r="M43" s="20">
        <f>'Data in Local Currency'!F43</f>
        <v>2007</v>
      </c>
      <c r="N43" s="15">
        <f>IFERROR(__xludf.DUMMYFUNCTION("IF($D43=""Euro"",'Data in Local Currency'!G43,
IF($D43=""Dolar"",'Data in Local Currency'!G43*GOOGLEFINANCE(""Currency:USDEUR""),
IF($D43=""Franco Suíço"",'Data in Local Currency'!G43*GOOGLEFINANCE(""Currency:CHFEUR""),
IF($D43=""Libra Esterlina"", 'Data "&amp;"in Local Currency'!G43*GOOGLEFINANCE(""Currency:GBPEUR""),
IF($D43=""Iene"",'Data in Local Currency'!G43*GOOGLEFINANCE(""Currency:JPYEUR""),
IF($D43=""HKD"",'Data in Local Currency'!G43*GOOGLEFINANCE(""Currency:HKDEUR""),
IF($D43=""KRW"",'Data in Local Cu"&amp;"rrency'!G43*GOOGLEFINANCE(""Currency:KRWEUR""),"""")))))))"),15.86)</f>
        <v>15.86</v>
      </c>
      <c r="O43" s="15">
        <v>8.36</v>
      </c>
      <c r="P43" s="11">
        <v>1.25</v>
      </c>
      <c r="Q43" s="17">
        <v>0.12</v>
      </c>
      <c r="R43" s="11" t="s">
        <v>27</v>
      </c>
      <c r="S43" s="17">
        <v>0.0</v>
      </c>
    </row>
    <row r="44">
      <c r="A44" s="11" t="s">
        <v>151</v>
      </c>
      <c r="B44" s="11" t="s">
        <v>152</v>
      </c>
      <c r="C44" s="11" t="s">
        <v>153</v>
      </c>
      <c r="D44" s="12" t="s">
        <v>104</v>
      </c>
      <c r="E44" s="11">
        <v>4.1</v>
      </c>
      <c r="F44" s="11">
        <v>4.1</v>
      </c>
      <c r="G44" s="11">
        <v>3.7</v>
      </c>
      <c r="H44" s="13">
        <v>4.3</v>
      </c>
      <c r="I44" s="11">
        <v>40.0</v>
      </c>
      <c r="J44" s="11">
        <v>76.0</v>
      </c>
      <c r="K44" s="14">
        <v>72.0</v>
      </c>
      <c r="L44" s="15">
        <f>IFERROR(__xludf.DUMMYFUNCTION("IF($D44=""Euro"",'Data in Local Currency'!E44,
IF($D44=""Dolar"",'Data in Local Currency'!E44*GOOGLEFINANCE(""Currency:USDEUR""),
IF($D44=""Franco Suíço"",'Data in Local Currency'!E44*GOOGLEFINANCE(""Currency:CHFEUR""),
IF($D44=""Libra Esterlina"", 'Data "&amp;"in Local Currency'!E44*GOOGLEFINANCE(""Currency:GBPEUR""),
IF($D44=""Iene"",'Data in Local Currency'!E44*GOOGLEFINANCE(""Currency:JPYEUR""),
IF($D44=""HKD"",'Data in Local Currency'!E44*GOOGLEFINANCE(""Currency:HKDEUR""),
IF($D44=""KRW"",'Data in Local Cu"&amp;"rrency'!E44*GOOGLEFINANCE(""Currency:KRWEUR""),"""")))))))"),733.27875693105)</f>
        <v>733.2787569</v>
      </c>
      <c r="M44" s="20">
        <f>'Data in Local Currency'!F44</f>
        <v>1993</v>
      </c>
      <c r="N44" s="15">
        <f>IFERROR(__xludf.DUMMYFUNCTION("IF($D44=""Euro"",'Data in Local Currency'!G44,
IF($D44=""Dolar"",'Data in Local Currency'!G44*GOOGLEFINANCE(""Currency:USDEUR""),
IF($D44=""Franco Suíço"",'Data in Local Currency'!G44*GOOGLEFINANCE(""Currency:CHFEUR""),
IF($D44=""Libra Esterlina"", 'Data "&amp;"in Local Currency'!G44*GOOGLEFINANCE(""Currency:GBPEUR""),
IF($D44=""Iene"",'Data in Local Currency'!G44*GOOGLEFINANCE(""Currency:JPYEUR""),
IF($D44=""HKD"",'Data in Local Currency'!G44*GOOGLEFINANCE(""Currency:HKDEUR""),
IF($D44=""KRW"",'Data in Local Cu"&amp;"rrency'!G44*GOOGLEFINANCE(""Currency:KRWEUR""),"""")))))))"),5576.0928675375)</f>
        <v>5576.092868</v>
      </c>
      <c r="O44" s="15">
        <v>11302.13</v>
      </c>
      <c r="P44" s="11">
        <v>34.08</v>
      </c>
      <c r="Q44" s="17">
        <v>6.91</v>
      </c>
      <c r="R44" s="11" t="s">
        <v>27</v>
      </c>
      <c r="S44" s="17">
        <v>3.0</v>
      </c>
    </row>
    <row r="45">
      <c r="A45" s="11" t="s">
        <v>154</v>
      </c>
      <c r="B45" s="11" t="s">
        <v>155</v>
      </c>
      <c r="C45" s="11" t="s">
        <v>156</v>
      </c>
      <c r="D45" s="12" t="s">
        <v>31</v>
      </c>
      <c r="E45" s="11">
        <v>3.9</v>
      </c>
      <c r="F45" s="11">
        <v>3.8</v>
      </c>
      <c r="G45" s="11">
        <v>3.4</v>
      </c>
      <c r="H45" s="13">
        <v>4.1</v>
      </c>
      <c r="I45" s="11">
        <v>25.0</v>
      </c>
      <c r="J45" s="11">
        <v>79.0</v>
      </c>
      <c r="K45" s="14">
        <v>69.0</v>
      </c>
      <c r="L45" s="15">
        <f>IFERROR(__xludf.DUMMYFUNCTION("IF($D45=""Euro"",'Data in Local Currency'!E45,
IF($D45=""Dolar"",'Data in Local Currency'!E45*GOOGLEFINANCE(""Currency:USDEUR""),
IF($D45=""Franco Suíço"",'Data in Local Currency'!E45*GOOGLEFINANCE(""Currency:CHFEUR""),
IF($D45=""Libra Esterlina"", 'Data "&amp;"in Local Currency'!E45*GOOGLEFINANCE(""Currency:GBPEUR""),
IF($D45=""Iene"",'Data in Local Currency'!E45*GOOGLEFINANCE(""Currency:JPYEUR""),
IF($D45=""HKD"",'Data in Local Currency'!E45*GOOGLEFINANCE(""Currency:HKDEUR""),
IF($D45=""KRW"",'Data in Local Cu"&amp;"rrency'!E45*GOOGLEFINANCE(""Currency:KRWEUR""),"""")))))))"),1.232532)</f>
        <v>1.232532</v>
      </c>
      <c r="M45" s="20">
        <f>'Data in Local Currency'!F45</f>
        <v>1984</v>
      </c>
      <c r="N45" s="15">
        <f>IFERROR(__xludf.DUMMYFUNCTION("IF($D45=""Euro"",'Data in Local Currency'!G45,
IF($D45=""Dolar"",'Data in Local Currency'!G45*GOOGLEFINANCE(""Currency:USDEUR""),
IF($D45=""Franco Suíço"",'Data in Local Currency'!G45*GOOGLEFINANCE(""Currency:CHFEUR""),
IF($D45=""Libra Esterlina"", 'Data "&amp;"in Local Currency'!G45*GOOGLEFINANCE(""Currency:GBPEUR""),
IF($D45=""Iene"",'Data in Local Currency'!G45*GOOGLEFINANCE(""Currency:JPYEUR""),
IF($D45=""HKD"",'Data in Local Currency'!G45*GOOGLEFINANCE(""Currency:HKDEUR""),
IF($D45=""KRW"",'Data in Local Cu"&amp;"rrency'!G45*GOOGLEFINANCE(""Currency:KRWEUR""),"""")))))))"),40.140071999999996)</f>
        <v>40.140072</v>
      </c>
      <c r="O45" s="15">
        <v>109.95</v>
      </c>
      <c r="P45" s="11">
        <v>39.23</v>
      </c>
      <c r="Q45" s="17">
        <v>11.6</v>
      </c>
      <c r="R45" s="11" t="s">
        <v>32</v>
      </c>
      <c r="S45" s="17"/>
    </row>
    <row r="46">
      <c r="A46" s="11" t="s">
        <v>157</v>
      </c>
      <c r="B46" s="11" t="s">
        <v>158</v>
      </c>
      <c r="C46" s="11" t="s">
        <v>159</v>
      </c>
      <c r="D46" s="12" t="s">
        <v>26</v>
      </c>
      <c r="E46" s="11">
        <v>4.0</v>
      </c>
      <c r="F46" s="11">
        <v>4.0</v>
      </c>
      <c r="G46" s="11">
        <v>3.6</v>
      </c>
      <c r="H46" s="13">
        <v>3.7</v>
      </c>
      <c r="I46" s="11">
        <v>19.0</v>
      </c>
      <c r="J46" s="11">
        <v>80.0</v>
      </c>
      <c r="K46" s="14">
        <v>63.0</v>
      </c>
      <c r="L46" s="15">
        <f>IFERROR(__xludf.DUMMYFUNCTION("IF($D46=""Euro"",'Data in Local Currency'!E46,
IF($D46=""Dolar"",'Data in Local Currency'!E46*GOOGLEFINANCE(""Currency:USDEUR""),
IF($D46=""Franco Suíço"",'Data in Local Currency'!E46*GOOGLEFINANCE(""Currency:CHFEUR""),
IF($D46=""Libra Esterlina"", 'Data "&amp;"in Local Currency'!E46*GOOGLEFINANCE(""Currency:GBPEUR""),
IF($D46=""Iene"",'Data in Local Currency'!E46*GOOGLEFINANCE(""Currency:JPYEUR""),
IF($D46=""HKD"",'Data in Local Currency'!E46*GOOGLEFINANCE(""Currency:HKDEUR""),
IF($D46=""KRW"",'Data in Local Cu"&amp;"rrency'!E46*GOOGLEFINANCE(""Currency:KRWEUR""),"""")))))))"),23.05)</f>
        <v>23.05</v>
      </c>
      <c r="M46" s="20">
        <f>'Data in Local Currency'!F46</f>
        <v>2000</v>
      </c>
      <c r="N46" s="15">
        <f>IFERROR(__xludf.DUMMYFUNCTION("IF($D46=""Euro"",'Data in Local Currency'!G46,
IF($D46=""Dolar"",'Data in Local Currency'!G46*GOOGLEFINANCE(""Currency:USDEUR""),
IF($D46=""Franco Suíço"",'Data in Local Currency'!G46*GOOGLEFINANCE(""Currency:CHFEUR""),
IF($D46=""Libra Esterlina"", 'Data "&amp;"in Local Currency'!G46*GOOGLEFINANCE(""Currency:GBPEUR""),
IF($D46=""Iene"",'Data in Local Currency'!G46*GOOGLEFINANCE(""Currency:JPYEUR""),
IF($D46=""HKD"",'Data in Local Currency'!G46*GOOGLEFINANCE(""Currency:HKDEUR""),
IF($D46=""KRW"",'Data in Local Cu"&amp;"rrency'!G46*GOOGLEFINANCE(""Currency:KRWEUR""),"""")))))))"),33.0)</f>
        <v>33</v>
      </c>
      <c r="O46" s="15">
        <v>45.91</v>
      </c>
      <c r="P46" s="11">
        <v>81.75</v>
      </c>
      <c r="Q46" s="17">
        <v>10.29</v>
      </c>
      <c r="R46" s="11" t="s">
        <v>27</v>
      </c>
      <c r="S46" s="17">
        <v>3.0</v>
      </c>
    </row>
    <row r="47">
      <c r="A47" s="11" t="s">
        <v>160</v>
      </c>
      <c r="B47" s="11" t="s">
        <v>161</v>
      </c>
      <c r="C47" s="11" t="s">
        <v>162</v>
      </c>
      <c r="D47" s="12" t="s">
        <v>26</v>
      </c>
      <c r="E47" s="11">
        <v>4.1</v>
      </c>
      <c r="F47" s="11">
        <v>3.7</v>
      </c>
      <c r="G47" s="11">
        <v>3.6</v>
      </c>
      <c r="H47" s="13" t="s">
        <v>42</v>
      </c>
      <c r="I47" s="11" t="s">
        <v>42</v>
      </c>
      <c r="J47" s="11" t="s">
        <v>42</v>
      </c>
      <c r="K47" s="14" t="s">
        <v>42</v>
      </c>
      <c r="L47" s="15">
        <f>IFERROR(__xludf.DUMMYFUNCTION("IF($D47=""Euro"",'Data in Local Currency'!E47,
IF($D47=""Dolar"",'Data in Local Currency'!E47*GOOGLEFINANCE(""Currency:USDEUR""),
IF($D47=""Franco Suíço"",'Data in Local Currency'!E47*GOOGLEFINANCE(""Currency:CHFEUR""),
IF($D47=""Libra Esterlina"", 'Data "&amp;"in Local Currency'!E47*GOOGLEFINANCE(""Currency:GBPEUR""),
IF($D47=""Iene"",'Data in Local Currency'!E47*GOOGLEFINANCE(""Currency:JPYEUR""),
IF($D47=""HKD"",'Data in Local Currency'!E47*GOOGLEFINANCE(""Currency:HKDEUR""),
IF($D47=""KRW"",'Data in Local Cu"&amp;"rrency'!E47*GOOGLEFINANCE(""Currency:KRWEUR""),"""")))))))"),10.58)</f>
        <v>10.58</v>
      </c>
      <c r="M47" s="20">
        <f>'Data in Local Currency'!F47</f>
        <v>2001</v>
      </c>
      <c r="N47" s="15">
        <f>IFERROR(__xludf.DUMMYFUNCTION("IF($D47=""Euro"",'Data in Local Currency'!G47,
IF($D47=""Dolar"",'Data in Local Currency'!G47*GOOGLEFINANCE(""Currency:USDEUR""),
IF($D47=""Franco Suíço"",'Data in Local Currency'!G47*GOOGLEFINANCE(""Currency:CHFEUR""),
IF($D47=""Libra Esterlina"", 'Data "&amp;"in Local Currency'!G47*GOOGLEFINANCE(""Currency:GBPEUR""),
IF($D47=""Iene"",'Data in Local Currency'!G47*GOOGLEFINANCE(""Currency:JPYEUR""),
IF($D47=""HKD"",'Data in Local Currency'!G47*GOOGLEFINANCE(""Currency:HKDEUR""),
IF($D47=""KRW"",'Data in Local Cu"&amp;"rrency'!G47*GOOGLEFINANCE(""Currency:KRWEUR""),"""")))))))"),33.76)</f>
        <v>33.76</v>
      </c>
      <c r="O47" s="15">
        <v>32.56</v>
      </c>
      <c r="P47" s="11">
        <v>2.96</v>
      </c>
      <c r="Q47" s="17">
        <v>0.43</v>
      </c>
      <c r="R47" s="11" t="s">
        <v>32</v>
      </c>
      <c r="S47" s="17"/>
    </row>
    <row r="48">
      <c r="A48" s="11" t="s">
        <v>163</v>
      </c>
      <c r="B48" s="11" t="s">
        <v>164</v>
      </c>
      <c r="C48" s="11" t="s">
        <v>165</v>
      </c>
      <c r="D48" s="12" t="s">
        <v>26</v>
      </c>
      <c r="E48" s="11">
        <v>4.0</v>
      </c>
      <c r="F48" s="11">
        <v>3.9</v>
      </c>
      <c r="G48" s="11">
        <v>3.6</v>
      </c>
      <c r="H48" s="13">
        <v>3.5</v>
      </c>
      <c r="I48" s="11">
        <v>34.0</v>
      </c>
      <c r="J48" s="11">
        <v>77.0</v>
      </c>
      <c r="K48" s="14">
        <v>83.0</v>
      </c>
      <c r="L48" s="15">
        <f>IFERROR(__xludf.DUMMYFUNCTION("IF($D48=""Euro"",'Data in Local Currency'!E48,
IF($D48=""Dolar"",'Data in Local Currency'!E48*GOOGLEFINANCE(""Currency:USDEUR""),
IF($D48=""Franco Suíço"",'Data in Local Currency'!E48*GOOGLEFINANCE(""Currency:CHFEUR""),
IF($D48=""Libra Esterlina"", 'Data "&amp;"in Local Currency'!E48*GOOGLEFINANCE(""Currency:GBPEUR""),
IF($D48=""Iene"",'Data in Local Currency'!E48*GOOGLEFINANCE(""Currency:JPYEUR""),
IF($D48=""HKD"",'Data in Local Currency'!E48*GOOGLEFINANCE(""Currency:HKDEUR""),
IF($D48=""KRW"",'Data in Local Cu"&amp;"rrency'!E48*GOOGLEFINANCE(""Currency:KRWEUR""),"""")))))))"),6.2)</f>
        <v>6.2</v>
      </c>
      <c r="M48" s="20">
        <f>'Data in Local Currency'!F48</f>
        <v>1990</v>
      </c>
      <c r="N48" s="15">
        <f>IFERROR(__xludf.DUMMYFUNCTION("IF($D48=""Euro"",'Data in Local Currency'!G48,
IF($D48=""Dolar"",'Data in Local Currency'!G48*GOOGLEFINANCE(""Currency:USDEUR""),
IF($D48=""Franco Suíço"",'Data in Local Currency'!G48*GOOGLEFINANCE(""Currency:CHFEUR""),
IF($D48=""Libra Esterlina"", 'Data "&amp;"in Local Currency'!G48*GOOGLEFINANCE(""Currency:GBPEUR""),
IF($D48=""Iene"",'Data in Local Currency'!G48*GOOGLEFINANCE(""Currency:JPYEUR""),
IF($D48=""HKD"",'Data in Local Currency'!G48*GOOGLEFINANCE(""Currency:HKDEUR""),
IF($D48=""KRW"",'Data in Local Cu"&amp;"rrency'!G48*GOOGLEFINANCE(""Currency:KRWEUR""),"""")))))))"),24.51)</f>
        <v>24.51</v>
      </c>
      <c r="O48" s="15">
        <v>26.0</v>
      </c>
      <c r="P48" s="11">
        <v>100.52</v>
      </c>
      <c r="Q48" s="17"/>
      <c r="R48" s="11" t="s">
        <v>27</v>
      </c>
      <c r="S48" s="17">
        <v>5.0</v>
      </c>
    </row>
    <row r="49">
      <c r="A49" s="11" t="s">
        <v>166</v>
      </c>
      <c r="B49" s="11" t="s">
        <v>167</v>
      </c>
      <c r="C49" s="11" t="s">
        <v>168</v>
      </c>
      <c r="D49" s="12" t="s">
        <v>31</v>
      </c>
      <c r="E49" s="11">
        <v>4.0</v>
      </c>
      <c r="F49" s="11">
        <v>4.0</v>
      </c>
      <c r="G49" s="11">
        <v>3.6</v>
      </c>
      <c r="H49" s="13">
        <v>3.7</v>
      </c>
      <c r="I49" s="11">
        <v>21.0</v>
      </c>
      <c r="J49" s="11">
        <v>81.0</v>
      </c>
      <c r="K49" s="14">
        <v>65.0</v>
      </c>
      <c r="L49" s="15">
        <f>IFERROR(__xludf.DUMMYFUNCTION("IF($D49=""Euro"",'Data in Local Currency'!E49,
IF($D49=""Dolar"",'Data in Local Currency'!E49*GOOGLEFINANCE(""Currency:USDEUR""),
IF($D49=""Franco Suíço"",'Data in Local Currency'!E49*GOOGLEFINANCE(""Currency:CHFEUR""),
IF($D49=""Libra Esterlina"", 'Data "&amp;"in Local Currency'!E49*GOOGLEFINANCE(""Currency:GBPEUR""),
IF($D49=""Iene"",'Data in Local Currency'!E49*GOOGLEFINANCE(""Currency:JPYEUR""),
IF($D49=""HKD"",'Data in Local Currency'!E49*GOOGLEFINANCE(""Currency:HKDEUR""),
IF($D49=""KRW"",'Data in Local Cu"&amp;"rrency'!E49*GOOGLEFINANCE(""Currency:KRWEUR""),"""")))))))"),19.187027999999998)</f>
        <v>19.187028</v>
      </c>
      <c r="M49" s="20">
        <f>'Data in Local Currency'!F49</f>
        <v>2008</v>
      </c>
      <c r="N49" s="15">
        <f>IFERROR(__xludf.DUMMYFUNCTION("IF($D49=""Euro"",'Data in Local Currency'!G49,
IF($D49=""Dolar"",'Data in Local Currency'!G49*GOOGLEFINANCE(""Currency:USDEUR""),
IF($D49=""Franco Suíço"",'Data in Local Currency'!G49*GOOGLEFINANCE(""Currency:CHFEUR""),
IF($D49=""Libra Esterlina"", 'Data "&amp;"in Local Currency'!G49*GOOGLEFINANCE(""Currency:GBPEUR""),
IF($D49=""Iene"",'Data in Local Currency'!G49*GOOGLEFINANCE(""Currency:JPYEUR""),
IF($D49=""HKD"",'Data in Local Currency'!G49*GOOGLEFINANCE(""Currency:HKDEUR""),
IF($D49=""KRW"",'Data in Local Cu"&amp;"rrency'!G49*GOOGLEFINANCE(""Currency:KRWEUR""),"""")))))))"),83.904156)</f>
        <v>83.904156</v>
      </c>
      <c r="O49" s="15">
        <v>197.08</v>
      </c>
      <c r="P49" s="11">
        <v>21.96</v>
      </c>
      <c r="Q49" s="17">
        <v>15.15</v>
      </c>
      <c r="R49" s="11" t="s">
        <v>32</v>
      </c>
      <c r="S49" s="17"/>
    </row>
    <row r="50">
      <c r="A50" s="11" t="s">
        <v>169</v>
      </c>
      <c r="B50" s="11" t="s">
        <v>170</v>
      </c>
      <c r="C50" s="11" t="s">
        <v>171</v>
      </c>
      <c r="D50" s="12" t="s">
        <v>104</v>
      </c>
      <c r="E50" s="11">
        <v>3.8</v>
      </c>
      <c r="F50" s="11">
        <v>3.8</v>
      </c>
      <c r="G50" s="11">
        <v>3.3</v>
      </c>
      <c r="H50" s="13">
        <v>3.3</v>
      </c>
      <c r="I50" s="11">
        <v>5.0</v>
      </c>
      <c r="J50" s="11">
        <v>73.0</v>
      </c>
      <c r="K50" s="14">
        <v>71.0</v>
      </c>
      <c r="L50" s="15">
        <f>IFERROR(__xludf.DUMMYFUNCTION("IF($D50=""Euro"",'Data in Local Currency'!E50,
IF($D50=""Dolar"",'Data in Local Currency'!E50*GOOGLEFINANCE(""Currency:USDEUR""),
IF($D50=""Franco Suíço"",'Data in Local Currency'!E50*GOOGLEFINANCE(""Currency:CHFEUR""),
IF($D50=""Libra Esterlina"", 'Data "&amp;"in Local Currency'!E50*GOOGLEFINANCE(""Currency:GBPEUR""),
IF($D50=""Iene"",'Data in Local Currency'!E50*GOOGLEFINANCE(""Currency:JPYEUR""),
IF($D50=""HKD"",'Data in Local Currency'!E50*GOOGLEFINANCE(""Currency:HKDEUR""),
IF($D50=""KRW"",'Data in Local Cu"&amp;"rrency'!E50*GOOGLEFINANCE(""Currency:KRWEUR""),"""")))))))"),375.62725861319996)</f>
        <v>375.6272586</v>
      </c>
      <c r="M50" s="20">
        <f>'Data in Local Currency'!F50</f>
        <v>1988</v>
      </c>
      <c r="N50" s="15">
        <f>IFERROR(__xludf.DUMMYFUNCTION("IF($D50=""Euro"",'Data in Local Currency'!G50,
IF($D50=""Dolar"",'Data in Local Currency'!G50*GOOGLEFINANCE(""Currency:USDEUR""),
IF($D50=""Franco Suíço"",'Data in Local Currency'!G50*GOOGLEFINANCE(""Currency:CHFEUR""),
IF($D50=""Libra Esterlina"", 'Data "&amp;"in Local Currency'!G50*GOOGLEFINANCE(""Currency:GBPEUR""),
IF($D50=""Iene"",'Data in Local Currency'!G50*GOOGLEFINANCE(""Currency:JPYEUR""),
IF($D50=""HKD"",'Data in Local Currency'!G50*GOOGLEFINANCE(""Currency:HKDEUR""),
IF($D50=""KRW"",'Data in Local Cu"&amp;"rrency'!G50*GOOGLEFINANCE(""Currency:KRWEUR""),"""")))))))"),768.328483527)</f>
        <v>768.3284835</v>
      </c>
      <c r="O50" s="15">
        <v>920.32</v>
      </c>
      <c r="P50" s="11">
        <v>4.09</v>
      </c>
      <c r="Q50" s="17">
        <v>1.17</v>
      </c>
      <c r="R50" s="11" t="s">
        <v>27</v>
      </c>
      <c r="S50" s="17">
        <v>4.0</v>
      </c>
    </row>
    <row r="51">
      <c r="A51" s="11" t="s">
        <v>172</v>
      </c>
      <c r="B51" s="11" t="s">
        <v>173</v>
      </c>
      <c r="C51" s="11" t="s">
        <v>174</v>
      </c>
      <c r="D51" s="12" t="s">
        <v>26</v>
      </c>
      <c r="E51" s="11">
        <v>4.0</v>
      </c>
      <c r="F51" s="11">
        <v>4.0</v>
      </c>
      <c r="G51" s="11">
        <v>3.7</v>
      </c>
      <c r="H51" s="13">
        <v>4.2</v>
      </c>
      <c r="I51" s="11">
        <v>16.0</v>
      </c>
      <c r="J51" s="11">
        <v>77.0</v>
      </c>
      <c r="K51" s="14">
        <v>74.0</v>
      </c>
      <c r="L51" s="15">
        <f>IFERROR(__xludf.DUMMYFUNCTION("IF($D51=""Euro"",'Data in Local Currency'!E51,
IF($D51=""Dolar"",'Data in Local Currency'!E51*GOOGLEFINANCE(""Currency:USDEUR""),
IF($D51=""Franco Suíço"",'Data in Local Currency'!E51*GOOGLEFINANCE(""Currency:CHFEUR""),
IF($D51=""Libra Esterlina"", 'Data "&amp;"in Local Currency'!E51*GOOGLEFINANCE(""Currency:GBPEUR""),
IF($D51=""Iene"",'Data in Local Currency'!E51*GOOGLEFINANCE(""Currency:JPYEUR""),
IF($D51=""HKD"",'Data in Local Currency'!E51*GOOGLEFINANCE(""Currency:HKDEUR""),
IF($D51=""KRW"",'Data in Local Cu"&amp;"rrency'!E51*GOOGLEFINANCE(""Currency:KRWEUR""),"""")))))))"),14.51)</f>
        <v>14.51</v>
      </c>
      <c r="M51" s="20">
        <f>'Data in Local Currency'!F51</f>
        <v>2000</v>
      </c>
      <c r="N51" s="15">
        <f>IFERROR(__xludf.DUMMYFUNCTION("IF($D51=""Euro"",'Data in Local Currency'!G51,
IF($D51=""Dolar"",'Data in Local Currency'!G51*GOOGLEFINANCE(""Currency:USDEUR""),
IF($D51=""Franco Suíço"",'Data in Local Currency'!G51*GOOGLEFINANCE(""Currency:CHFEUR""),
IF($D51=""Libra Esterlina"", 'Data "&amp;"in Local Currency'!G51*GOOGLEFINANCE(""Currency:GBPEUR""),
IF($D51=""Iene"",'Data in Local Currency'!G51*GOOGLEFINANCE(""Currency:JPYEUR""),
IF($D51=""HKD"",'Data in Local Currency'!G51*GOOGLEFINANCE(""Currency:HKDEUR""),
IF($D51=""KRW"",'Data in Local Cu"&amp;"rrency'!G51*GOOGLEFINANCE(""Currency:KRWEUR""),"""")))))))"),7.35)</f>
        <v>7.35</v>
      </c>
      <c r="O51" s="15">
        <v>5.2</v>
      </c>
      <c r="P51" s="11">
        <v>23.19</v>
      </c>
      <c r="Q51" s="17"/>
      <c r="R51" s="11" t="s">
        <v>27</v>
      </c>
      <c r="S51" s="17">
        <v>5.0</v>
      </c>
    </row>
    <row r="52">
      <c r="A52" s="11" t="s">
        <v>175</v>
      </c>
      <c r="B52" s="11" t="s">
        <v>176</v>
      </c>
      <c r="C52" s="11" t="s">
        <v>177</v>
      </c>
      <c r="D52" s="12" t="s">
        <v>104</v>
      </c>
      <c r="E52" s="11">
        <v>3.6</v>
      </c>
      <c r="F52" s="11">
        <v>3.6</v>
      </c>
      <c r="G52" s="11">
        <v>3.1</v>
      </c>
      <c r="H52" s="13" t="s">
        <v>42</v>
      </c>
      <c r="I52" s="11" t="s">
        <v>42</v>
      </c>
      <c r="J52" s="11" t="s">
        <v>42</v>
      </c>
      <c r="K52" s="14" t="s">
        <v>42</v>
      </c>
      <c r="L52" s="15">
        <f>IFERROR(__xludf.DUMMYFUNCTION("IF($D52=""Euro"",'Data in Local Currency'!E52,
IF($D52=""Dolar"",'Data in Local Currency'!E52*GOOGLEFINANCE(""Currency:USDEUR""),
IF($D52=""Franco Suíço"",'Data in Local Currency'!E52*GOOGLEFINANCE(""Currency:CHFEUR""),
IF($D52=""Libra Esterlina"", 'Data "&amp;"in Local Currency'!E52*GOOGLEFINANCE(""Currency:GBPEUR""),
IF($D52=""Iene"",'Data in Local Currency'!E52*GOOGLEFINANCE(""Currency:JPYEUR""),
IF($D52=""HKD"",'Data in Local Currency'!E52*GOOGLEFINANCE(""Currency:HKDEUR""),
IF($D52=""KRW"",'Data in Local Cu"&amp;"rrency'!E52*GOOGLEFINANCE(""Currency:KRWEUR""),"""")))))))"),360.52521518111996)</f>
        <v>360.5252152</v>
      </c>
      <c r="M52" s="20">
        <f>'Data in Local Currency'!F52</f>
        <v>1988</v>
      </c>
      <c r="N52" s="15">
        <f>IFERROR(__xludf.DUMMYFUNCTION("IF($D52=""Euro"",'Data in Local Currency'!G52,
IF($D52=""Dolar"",'Data in Local Currency'!G52*GOOGLEFINANCE(""Currency:USDEUR""),
IF($D52=""Franco Suíço"",'Data in Local Currency'!G52*GOOGLEFINANCE(""Currency:CHFEUR""),
IF($D52=""Libra Esterlina"", 'Data "&amp;"in Local Currency'!G52*GOOGLEFINANCE(""Currency:GBPEUR""),
IF($D52=""Iene"",'Data in Local Currency'!G52*GOOGLEFINANCE(""Currency:JPYEUR""),
IF($D52=""HKD"",'Data in Local Currency'!G52*GOOGLEFINANCE(""Currency:HKDEUR""),
IF($D52=""KRW"",'Data in Local Cu"&amp;"rrency'!G52*GOOGLEFINANCE(""Currency:KRWEUR""),"""")))))))"),630.6546003285)</f>
        <v>630.6546003</v>
      </c>
      <c r="O52" s="15">
        <v>520.25</v>
      </c>
      <c r="P52" s="11">
        <v>38.12</v>
      </c>
      <c r="Q52" s="17"/>
      <c r="R52" s="11" t="s">
        <v>27</v>
      </c>
      <c r="S52" s="17">
        <v>5.0</v>
      </c>
    </row>
    <row r="53">
      <c r="A53" s="11" t="s">
        <v>178</v>
      </c>
      <c r="B53" s="11" t="s">
        <v>179</v>
      </c>
      <c r="C53" s="11" t="s">
        <v>180</v>
      </c>
      <c r="D53" s="12" t="s">
        <v>26</v>
      </c>
      <c r="E53" s="11">
        <v>4.1</v>
      </c>
      <c r="F53" s="11">
        <v>3.8</v>
      </c>
      <c r="G53" s="11">
        <v>3.4</v>
      </c>
      <c r="H53" s="13" t="s">
        <v>42</v>
      </c>
      <c r="I53" s="11" t="s">
        <v>42</v>
      </c>
      <c r="J53" s="11" t="s">
        <v>42</v>
      </c>
      <c r="K53" s="14" t="s">
        <v>42</v>
      </c>
      <c r="L53" s="15">
        <f>IFERROR(__xludf.DUMMYFUNCTION("IF($D53=""Euro"",'Data in Local Currency'!E53,
IF($D53=""Dolar"",'Data in Local Currency'!E53*GOOGLEFINANCE(""Currency:USDEUR""),
IF($D53=""Franco Suíço"",'Data in Local Currency'!E53*GOOGLEFINANCE(""Currency:CHFEUR""),
IF($D53=""Libra Esterlina"", 'Data "&amp;"in Local Currency'!E53*GOOGLEFINANCE(""Currency:GBPEUR""),
IF($D53=""Iene"",'Data in Local Currency'!E53*GOOGLEFINANCE(""Currency:JPYEUR""),
IF($D53=""HKD"",'Data in Local Currency'!E53*GOOGLEFINANCE(""Currency:HKDEUR""),
IF($D53=""KRW"",'Data in Local Cu"&amp;"rrency'!E53*GOOGLEFINANCE(""Currency:KRWEUR""),"""")))))))"),7.41)</f>
        <v>7.41</v>
      </c>
      <c r="M53" s="20">
        <f>'Data in Local Currency'!F53</f>
        <v>1998</v>
      </c>
      <c r="N53" s="15">
        <f>IFERROR(__xludf.DUMMYFUNCTION("IF($D53=""Euro"",'Data in Local Currency'!G53,
IF($D53=""Dolar"",'Data in Local Currency'!G53*GOOGLEFINANCE(""Currency:USDEUR""),
IF($D53=""Franco Suíço"",'Data in Local Currency'!G53*GOOGLEFINANCE(""Currency:CHFEUR""),
IF($D53=""Libra Esterlina"", 'Data "&amp;"in Local Currency'!G53*GOOGLEFINANCE(""Currency:GBPEUR""),
IF($D53=""Iene"",'Data in Local Currency'!G53*GOOGLEFINANCE(""Currency:JPYEUR""),
IF($D53=""HKD"",'Data in Local Currency'!G53*GOOGLEFINANCE(""Currency:HKDEUR""),
IF($D53=""KRW"",'Data in Local Cu"&amp;"rrency'!G53*GOOGLEFINANCE(""Currency:KRWEUR""),"""")))))))"),45.75)</f>
        <v>45.75</v>
      </c>
      <c r="O53" s="15">
        <v>31.7</v>
      </c>
      <c r="P53" s="11">
        <v>3.54</v>
      </c>
      <c r="Q53" s="17">
        <v>0.28</v>
      </c>
      <c r="R53" s="11" t="s">
        <v>27</v>
      </c>
      <c r="S53" s="17">
        <v>0.0</v>
      </c>
    </row>
    <row r="54">
      <c r="A54" s="11" t="s">
        <v>181</v>
      </c>
      <c r="B54" s="11" t="s">
        <v>182</v>
      </c>
      <c r="C54" s="11" t="s">
        <v>183</v>
      </c>
      <c r="D54" s="12" t="s">
        <v>31</v>
      </c>
      <c r="E54" s="11">
        <v>3.8</v>
      </c>
      <c r="F54" s="11">
        <v>3.9</v>
      </c>
      <c r="G54" s="11">
        <v>3.4</v>
      </c>
      <c r="H54" s="13">
        <v>4.2</v>
      </c>
      <c r="I54" s="11">
        <v>8.0</v>
      </c>
      <c r="J54" s="11">
        <v>72.0</v>
      </c>
      <c r="K54" s="14">
        <v>69.0</v>
      </c>
      <c r="L54" s="15">
        <f>IFERROR(__xludf.DUMMYFUNCTION("IF($D54=""Euro"",'Data in Local Currency'!E54,
IF($D54=""Dolar"",'Data in Local Currency'!E54*GOOGLEFINANCE(""Currency:USDEUR""),
IF($D54=""Franco Suíço"",'Data in Local Currency'!E54*GOOGLEFINANCE(""Currency:CHFEUR""),
IF($D54=""Libra Esterlina"", 'Data "&amp;"in Local Currency'!E54*GOOGLEFINANCE(""Currency:GBPEUR""),
IF($D54=""Iene"",'Data in Local Currency'!E54*GOOGLEFINANCE(""Currency:JPYEUR""),
IF($D54=""HKD"",'Data in Local Currency'!E54*GOOGLEFINANCE(""Currency:HKDEUR""),
IF($D54=""KRW"",'Data in Local Cu"&amp;"rrency'!E54*GOOGLEFINANCE(""Currency:KRWEUR""),"""")))))))"),30.270617999999995)</f>
        <v>30.270618</v>
      </c>
      <c r="M54" s="20">
        <f>'Data in Local Currency'!F54</f>
        <v>2012</v>
      </c>
      <c r="N54" s="15">
        <f>IFERROR(__xludf.DUMMYFUNCTION("IF($D54=""Euro"",'Data in Local Currency'!G54,
IF($D54=""Dolar"",'Data in Local Currency'!G54*GOOGLEFINANCE(""Currency:USDEUR""),
IF($D54=""Franco Suíço"",'Data in Local Currency'!G54*GOOGLEFINANCE(""Currency:CHFEUR""),
IF($D54=""Libra Esterlina"", 'Data "&amp;"in Local Currency'!G54*GOOGLEFINANCE(""Currency:GBPEUR""),
IF($D54=""Iene"",'Data in Local Currency'!G54*GOOGLEFINANCE(""Currency:JPYEUR""),
IF($D54=""HKD"",'Data in Local Currency'!G54*GOOGLEFINANCE(""Currency:HKDEUR""),
IF($D54=""KRW"",'Data in Local Cu"&amp;"rrency'!G54*GOOGLEFINANCE(""Currency:KRWEUR""),"""")))))))"),41.400197999999996)</f>
        <v>41.400198</v>
      </c>
      <c r="O54" s="15">
        <v>23.37</v>
      </c>
      <c r="P54" s="11">
        <v>0.82</v>
      </c>
      <c r="Q54" s="17">
        <v>0.03</v>
      </c>
      <c r="R54" s="11" t="s">
        <v>32</v>
      </c>
      <c r="S54" s="17"/>
    </row>
    <row r="55">
      <c r="A55" s="11" t="s">
        <v>184</v>
      </c>
      <c r="B55" s="11" t="s">
        <v>185</v>
      </c>
      <c r="C55" s="11" t="s">
        <v>186</v>
      </c>
      <c r="D55" s="12" t="s">
        <v>26</v>
      </c>
      <c r="E55" s="11">
        <v>3.7</v>
      </c>
      <c r="F55" s="11">
        <v>3.1</v>
      </c>
      <c r="G55" s="11">
        <v>2.6</v>
      </c>
      <c r="H55" s="13" t="s">
        <v>42</v>
      </c>
      <c r="I55" s="11" t="s">
        <v>42</v>
      </c>
      <c r="J55" s="11" t="s">
        <v>42</v>
      </c>
      <c r="K55" s="14" t="s">
        <v>42</v>
      </c>
      <c r="L55" s="15">
        <f>IFERROR(__xludf.DUMMYFUNCTION("IF($D55=""Euro"",'Data in Local Currency'!E55,
IF($D55=""Dolar"",'Data in Local Currency'!E55*GOOGLEFINANCE(""Currency:USDEUR""),
IF($D55=""Franco Suíço"",'Data in Local Currency'!E55*GOOGLEFINANCE(""Currency:CHFEUR""),
IF($D55=""Libra Esterlina"", 'Data "&amp;"in Local Currency'!E55*GOOGLEFINANCE(""Currency:GBPEUR""),
IF($D55=""Iene"",'Data in Local Currency'!E55*GOOGLEFINANCE(""Currency:JPYEUR""),
IF($D55=""HKD"",'Data in Local Currency'!E55*GOOGLEFINANCE(""Currency:HKDEUR""),
IF($D55=""KRW"",'Data in Local Cu"&amp;"rrency'!E55*GOOGLEFINANCE(""Currency:KRWEUR""),"""")))))))"),96.49)</f>
        <v>96.49</v>
      </c>
      <c r="M55" s="20">
        <f>'Data in Local Currency'!F55</f>
        <v>2000</v>
      </c>
      <c r="N55" s="15">
        <f>IFERROR(__xludf.DUMMYFUNCTION("IF($D55=""Euro"",'Data in Local Currency'!G55,
IF($D55=""Dolar"",'Data in Local Currency'!G55*GOOGLEFINANCE(""Currency:USDEUR""),
IF($D55=""Franco Suíço"",'Data in Local Currency'!G55*GOOGLEFINANCE(""Currency:CHFEUR""),
IF($D55=""Libra Esterlina"", 'Data "&amp;"in Local Currency'!G55*GOOGLEFINANCE(""Currency:GBPEUR""),
IF($D55=""Iene"",'Data in Local Currency'!G55*GOOGLEFINANCE(""Currency:JPYEUR""),
IF($D55=""HKD"",'Data in Local Currency'!G55*GOOGLEFINANCE(""Currency:HKDEUR""),
IF($D55=""KRW"",'Data in Local Cu"&amp;"rrency'!G55*GOOGLEFINANCE(""Currency:KRWEUR""),"""")))))))"),32.78)</f>
        <v>32.78</v>
      </c>
      <c r="O55" s="15">
        <v>19.9</v>
      </c>
      <c r="P55" s="11">
        <v>0.46</v>
      </c>
      <c r="Q55" s="17">
        <v>0.06</v>
      </c>
      <c r="R55" s="11" t="s">
        <v>27</v>
      </c>
      <c r="S55" s="17">
        <v>0.0</v>
      </c>
    </row>
    <row r="56">
      <c r="A56" s="11" t="s">
        <v>187</v>
      </c>
      <c r="B56" s="11" t="s">
        <v>188</v>
      </c>
      <c r="C56" s="11" t="s">
        <v>189</v>
      </c>
      <c r="D56" s="12" t="s">
        <v>26</v>
      </c>
      <c r="E56" s="11">
        <v>3.9</v>
      </c>
      <c r="F56" s="11">
        <v>3.8</v>
      </c>
      <c r="G56" s="11">
        <v>3.4</v>
      </c>
      <c r="H56" s="13">
        <v>2.8</v>
      </c>
      <c r="I56" s="11">
        <v>21.0</v>
      </c>
      <c r="J56" s="11">
        <v>68.0</v>
      </c>
      <c r="K56" s="14">
        <v>64.0</v>
      </c>
      <c r="L56" s="15">
        <f>IFERROR(__xludf.DUMMYFUNCTION("IF($D56=""Euro"",'Data in Local Currency'!E56,
IF($D56=""Dolar"",'Data in Local Currency'!E56*GOOGLEFINANCE(""Currency:USDEUR""),
IF($D56=""Franco Suíço"",'Data in Local Currency'!E56*GOOGLEFINANCE(""Currency:CHFEUR""),
IF($D56=""Libra Esterlina"", 'Data "&amp;"in Local Currency'!E56*GOOGLEFINANCE(""Currency:GBPEUR""),
IF($D56=""Iene"",'Data in Local Currency'!E56*GOOGLEFINANCE(""Currency:JPYEUR""),
IF($D56=""HKD"",'Data in Local Currency'!E56*GOOGLEFINANCE(""Currency:HKDEUR""),
IF($D56=""KRW"",'Data in Local Cu"&amp;"rrency'!E56*GOOGLEFINANCE(""Currency:KRWEUR""),"""")))))))"),20.98)</f>
        <v>20.98</v>
      </c>
      <c r="M56" s="20">
        <f>'Data in Local Currency'!F56</f>
        <v>1993</v>
      </c>
      <c r="N56" s="15">
        <f>IFERROR(__xludf.DUMMYFUNCTION("IF($D56=""Euro"",'Data in Local Currency'!G56,
IF($D56=""Dolar"",'Data in Local Currency'!G56*GOOGLEFINANCE(""Currency:USDEUR""),
IF($D56=""Franco Suíço"",'Data in Local Currency'!G56*GOOGLEFINANCE(""Currency:CHFEUR""),
IF($D56=""Libra Esterlina"", 'Data "&amp;"in Local Currency'!G56*GOOGLEFINANCE(""Currency:GBPEUR""),
IF($D56=""Iene"",'Data in Local Currency'!G56*GOOGLEFINANCE(""Currency:JPYEUR""),
IF($D56=""HKD"",'Data in Local Currency'!G56*GOOGLEFINANCE(""Currency:HKDEUR""),
IF($D56=""KRW"",'Data in Local Cu"&amp;"rrency'!G56*GOOGLEFINANCE(""Currency:KRWEUR""),"""")))))))"),64.78)</f>
        <v>64.78</v>
      </c>
      <c r="O56" s="15">
        <v>53.6</v>
      </c>
      <c r="P56" s="11">
        <v>51.99</v>
      </c>
      <c r="Q56" s="17"/>
      <c r="R56" s="11" t="s">
        <v>27</v>
      </c>
      <c r="S56" s="17">
        <v>6.0</v>
      </c>
    </row>
    <row r="57">
      <c r="A57" s="11" t="s">
        <v>190</v>
      </c>
      <c r="B57" s="11" t="s">
        <v>191</v>
      </c>
      <c r="C57" s="11" t="s">
        <v>192</v>
      </c>
      <c r="D57" s="12" t="s">
        <v>26</v>
      </c>
      <c r="E57" s="11">
        <v>3.6</v>
      </c>
      <c r="F57" s="11">
        <v>3.5</v>
      </c>
      <c r="G57" s="11">
        <v>3.3</v>
      </c>
      <c r="H57" s="13">
        <v>2.2</v>
      </c>
      <c r="I57" s="11">
        <v>100.0</v>
      </c>
      <c r="J57" s="11">
        <v>43.0</v>
      </c>
      <c r="K57" s="14">
        <v>55.0</v>
      </c>
      <c r="L57" s="15">
        <f>IFERROR(__xludf.DUMMYFUNCTION("IF($D57=""Euro"",'Data in Local Currency'!E57,
IF($D57=""Dolar"",'Data in Local Currency'!E57*GOOGLEFINANCE(""Currency:USDEUR""),
IF($D57=""Franco Suíço"",'Data in Local Currency'!E57*GOOGLEFINANCE(""Currency:CHFEUR""),
IF($D57=""Libra Esterlina"", 'Data "&amp;"in Local Currency'!E57*GOOGLEFINANCE(""Currency:GBPEUR""),
IF($D57=""Iene"",'Data in Local Currency'!E57*GOOGLEFINANCE(""Currency:JPYEUR""),
IF($D57=""HKD"",'Data in Local Currency'!E57*GOOGLEFINANCE(""Currency:HKDEUR""),
IF($D57=""KRW"",'Data in Local Cu"&amp;"rrency'!E57*GOOGLEFINANCE(""Currency:KRWEUR""),"""")))))))"),24.54)</f>
        <v>24.54</v>
      </c>
      <c r="M57" s="20">
        <f>'Data in Local Currency'!F57</f>
        <v>1998</v>
      </c>
      <c r="N57" s="15">
        <f>IFERROR(__xludf.DUMMYFUNCTION("IF($D57=""Euro"",'Data in Local Currency'!G57,
IF($D57=""Dolar"",'Data in Local Currency'!G57*GOOGLEFINANCE(""Currency:USDEUR""),
IF($D57=""Franco Suíço"",'Data in Local Currency'!G57*GOOGLEFINANCE(""Currency:CHFEUR""),
IF($D57=""Libra Esterlina"", 'Data "&amp;"in Local Currency'!G57*GOOGLEFINANCE(""Currency:GBPEUR""),
IF($D57=""Iene"",'Data in Local Currency'!G57*GOOGLEFINANCE(""Currency:JPYEUR""),
IF($D57=""HKD"",'Data in Local Currency'!G57*GOOGLEFINANCE(""Currency:HKDEUR""),
IF($D57=""KRW"",'Data in Local Cu"&amp;"rrency'!G57*GOOGLEFINANCE(""Currency:KRWEUR""),"""")))))))"),41.02)</f>
        <v>41.02</v>
      </c>
      <c r="O57" s="15">
        <v>75.0</v>
      </c>
      <c r="P57" s="11">
        <v>2.28</v>
      </c>
      <c r="Q57" s="17">
        <v>0.85</v>
      </c>
      <c r="R57" s="11" t="s">
        <v>32</v>
      </c>
      <c r="S57" s="17"/>
    </row>
    <row r="58">
      <c r="A58" s="11" t="s">
        <v>193</v>
      </c>
      <c r="B58" s="11" t="s">
        <v>194</v>
      </c>
      <c r="C58" s="11" t="s">
        <v>195</v>
      </c>
      <c r="D58" s="12" t="s">
        <v>26</v>
      </c>
      <c r="E58" s="11">
        <v>3.8</v>
      </c>
      <c r="F58" s="11">
        <v>3.6</v>
      </c>
      <c r="G58" s="11">
        <v>3.3</v>
      </c>
      <c r="H58" s="13" t="s">
        <v>42</v>
      </c>
      <c r="I58" s="11" t="s">
        <v>42</v>
      </c>
      <c r="J58" s="11" t="s">
        <v>42</v>
      </c>
      <c r="K58" s="14" t="s">
        <v>42</v>
      </c>
      <c r="L58" s="15">
        <f>IFERROR(__xludf.DUMMYFUNCTION("IF($D58=""Euro"",'Data in Local Currency'!E58,
IF($D58=""Dolar"",'Data in Local Currency'!E58*GOOGLEFINANCE(""Currency:USDEUR""),
IF($D58=""Franco Suíço"",'Data in Local Currency'!E58*GOOGLEFINANCE(""Currency:CHFEUR""),
IF($D58=""Libra Esterlina"", 'Data "&amp;"in Local Currency'!E58*GOOGLEFINANCE(""Currency:GBPEUR""),
IF($D58=""Iene"",'Data in Local Currency'!E58*GOOGLEFINANCE(""Currency:JPYEUR""),
IF($D58=""HKD"",'Data in Local Currency'!E58*GOOGLEFINANCE(""Currency:HKDEUR""),
IF($D58=""KRW"",'Data in Local Cu"&amp;"rrency'!E58*GOOGLEFINANCE(""Currency:KRWEUR""),"""")))))))"),17.79)</f>
        <v>17.79</v>
      </c>
      <c r="M58" s="20">
        <f>'Data in Local Currency'!F58</f>
        <v>2000</v>
      </c>
      <c r="N58" s="15">
        <f>IFERROR(__xludf.DUMMYFUNCTION("IF($D58=""Euro"",'Data in Local Currency'!G58,
IF($D58=""Dolar"",'Data in Local Currency'!G58*GOOGLEFINANCE(""Currency:USDEUR""),
IF($D58=""Franco Suíço"",'Data in Local Currency'!G58*GOOGLEFINANCE(""Currency:CHFEUR""),
IF($D58=""Libra Esterlina"", 'Data "&amp;"in Local Currency'!G58*GOOGLEFINANCE(""Currency:GBPEUR""),
IF($D58=""Iene"",'Data in Local Currency'!G58*GOOGLEFINANCE(""Currency:JPYEUR""),
IF($D58=""HKD"",'Data in Local Currency'!G58*GOOGLEFINANCE(""Currency:HKDEUR""),
IF($D58=""KRW"",'Data in Local Cu"&amp;"rrency'!G58*GOOGLEFINANCE(""Currency:KRWEUR""),"""")))))))"),20.76)</f>
        <v>20.76</v>
      </c>
      <c r="O58" s="15">
        <v>25.15</v>
      </c>
      <c r="P58" s="11">
        <v>22.14</v>
      </c>
      <c r="Q58" s="17">
        <v>3.61</v>
      </c>
      <c r="R58" s="11" t="s">
        <v>27</v>
      </c>
      <c r="S58" s="17">
        <v>3.0</v>
      </c>
    </row>
    <row r="59">
      <c r="A59" s="11" t="s">
        <v>196</v>
      </c>
      <c r="B59" s="11" t="s">
        <v>197</v>
      </c>
      <c r="C59" s="11" t="s">
        <v>198</v>
      </c>
      <c r="D59" s="12" t="s">
        <v>126</v>
      </c>
      <c r="E59" s="11">
        <v>2.9</v>
      </c>
      <c r="F59" s="11">
        <v>2.9</v>
      </c>
      <c r="G59" s="11">
        <v>2.6</v>
      </c>
      <c r="H59" s="13" t="s">
        <v>42</v>
      </c>
      <c r="I59" s="11" t="s">
        <v>42</v>
      </c>
      <c r="J59" s="11" t="s">
        <v>42</v>
      </c>
      <c r="K59" s="14" t="s">
        <v>42</v>
      </c>
      <c r="L59" s="15">
        <f>IFERROR(__xludf.DUMMYFUNCTION("IF($D59=""Euro"",'Data in Local Currency'!E59,
IF($D59=""Dolar"",'Data in Local Currency'!E59*GOOGLEFINANCE(""Currency:USDEUR""),
IF($D59=""Franco Suíço"",'Data in Local Currency'!E59*GOOGLEFINANCE(""Currency:CHFEUR""),
IF($D59=""Libra Esterlina"", 'Data "&amp;"in Local Currency'!E59*GOOGLEFINANCE(""Currency:GBPEUR""),
IF($D59=""Iene"",'Data in Local Currency'!E59*GOOGLEFINANCE(""Currency:JPYEUR""),
IF($D59=""HKD"",'Data in Local Currency'!E59*GOOGLEFINANCE(""Currency:HKDEUR""),
IF($D59=""KRW"",'Data in Local Cu"&amp;"rrency'!E59*GOOGLEFINANCE(""Currency:KRWEUR""),"""")))))))"),51.78939432)</f>
        <v>51.78939432</v>
      </c>
      <c r="M59" s="20">
        <f>'Data in Local Currency'!F59</f>
        <v>2001</v>
      </c>
      <c r="N59" s="15">
        <f>IFERROR(__xludf.DUMMYFUNCTION("IF($D59=""Euro"",'Data in Local Currency'!G59,
IF($D59=""Dolar"",'Data in Local Currency'!G59*GOOGLEFINANCE(""Currency:USDEUR""),
IF($D59=""Franco Suíço"",'Data in Local Currency'!G59*GOOGLEFINANCE(""Currency:CHFEUR""),
IF($D59=""Libra Esterlina"", 'Data "&amp;"in Local Currency'!G59*GOOGLEFINANCE(""Currency:GBPEUR""),
IF($D59=""Iene"",'Data in Local Currency'!G59*GOOGLEFINANCE(""Currency:JPYEUR""),
IF($D59=""HKD"",'Data in Local Currency'!G59*GOOGLEFINANCE(""Currency:HKDEUR""),
IF($D59=""KRW"",'Data in Local Cu"&amp;"rrency'!G59*GOOGLEFINANCE(""Currency:KRWEUR""),"""")))))))"),138.63679554)</f>
        <v>138.6367955</v>
      </c>
      <c r="O59" s="15">
        <v>121.41</v>
      </c>
      <c r="P59" s="11">
        <v>6.07</v>
      </c>
      <c r="Q59" s="17">
        <v>0.11</v>
      </c>
      <c r="R59" s="11" t="s">
        <v>32</v>
      </c>
      <c r="S59" s="17"/>
    </row>
    <row r="60">
      <c r="A60" s="11" t="s">
        <v>199</v>
      </c>
      <c r="B60" s="11" t="s">
        <v>200</v>
      </c>
      <c r="C60" s="11" t="s">
        <v>201</v>
      </c>
      <c r="D60" s="12" t="s">
        <v>104</v>
      </c>
      <c r="E60" s="11">
        <v>4.0</v>
      </c>
      <c r="F60" s="11">
        <v>4.0</v>
      </c>
      <c r="G60" s="11">
        <v>3.5</v>
      </c>
      <c r="H60" s="13">
        <v>3.7</v>
      </c>
      <c r="I60" s="11">
        <v>3.0</v>
      </c>
      <c r="J60" s="11">
        <v>70.0</v>
      </c>
      <c r="K60" s="14">
        <v>75.0</v>
      </c>
      <c r="L60" s="15">
        <f>IFERROR(__xludf.DUMMYFUNCTION("IF($D60=""Euro"",'Data in Local Currency'!E60,
IF($D60=""Dolar"",'Data in Local Currency'!E60*GOOGLEFINANCE(""Currency:USDEUR""),
IF($D60=""Franco Suíço"",'Data in Local Currency'!E60*GOOGLEFINANCE(""Currency:CHFEUR""),
IF($D60=""Libra Esterlina"", 'Data "&amp;"in Local Currency'!E60*GOOGLEFINANCE(""Currency:GBPEUR""),
IF($D60=""Iene"",'Data in Local Currency'!E60*GOOGLEFINANCE(""Currency:JPYEUR""),
IF($D60=""HKD"",'Data in Local Currency'!E60*GOOGLEFINANCE(""Currency:HKDEUR""),
IF($D60=""KRW"",'Data in Local Cu"&amp;"rrency'!E60*GOOGLEFINANCE(""Currency:KRWEUR""),"""")))))))"),17.57897093766)</f>
        <v>17.57897094</v>
      </c>
      <c r="M60" s="20">
        <f>'Data in Local Currency'!F60</f>
        <v>1988</v>
      </c>
      <c r="N60" s="15">
        <f>IFERROR(__xludf.DUMMYFUNCTION("IF($D60=""Euro"",'Data in Local Currency'!G60,
IF($D60=""Dolar"",'Data in Local Currency'!G60*GOOGLEFINANCE(""Currency:USDEUR""),
IF($D60=""Franco Suíço"",'Data in Local Currency'!G60*GOOGLEFINANCE(""Currency:CHFEUR""),
IF($D60=""Libra Esterlina"", 'Data "&amp;"in Local Currency'!G60*GOOGLEFINANCE(""Currency:GBPEUR""),
IF($D60=""Iene"",'Data in Local Currency'!G60*GOOGLEFINANCE(""Currency:JPYEUR""),
IF($D60=""HKD"",'Data in Local Currency'!G60*GOOGLEFINANCE(""Currency:HKDEUR""),
IF($D60=""KRW"",'Data in Local Cu"&amp;"rrency'!G60*GOOGLEFINANCE(""Currency:KRWEUR""),"""")))))))"),239.33612620665002)</f>
        <v>239.3361262</v>
      </c>
      <c r="O60" s="15">
        <v>149.92</v>
      </c>
      <c r="P60" s="11">
        <v>43.81</v>
      </c>
      <c r="Q60" s="17">
        <v>16.64</v>
      </c>
      <c r="R60" s="11" t="s">
        <v>27</v>
      </c>
      <c r="S60" s="17">
        <v>3.0</v>
      </c>
    </row>
    <row r="61">
      <c r="A61" s="11" t="s">
        <v>202</v>
      </c>
      <c r="B61" s="11" t="s">
        <v>203</v>
      </c>
      <c r="C61" s="11" t="s">
        <v>204</v>
      </c>
      <c r="D61" s="12" t="s">
        <v>26</v>
      </c>
      <c r="E61" s="11">
        <v>4.1</v>
      </c>
      <c r="F61" s="11">
        <v>4.1</v>
      </c>
      <c r="G61" s="11">
        <v>4.1</v>
      </c>
      <c r="H61" s="13" t="s">
        <v>42</v>
      </c>
      <c r="I61" s="11" t="s">
        <v>42</v>
      </c>
      <c r="J61" s="11" t="s">
        <v>42</v>
      </c>
      <c r="K61" s="14" t="s">
        <v>42</v>
      </c>
      <c r="L61" s="15">
        <f>IFERROR(__xludf.DUMMYFUNCTION("IF($D61=""Euro"",'Data in Local Currency'!E61,
IF($D61=""Dolar"",'Data in Local Currency'!E61*GOOGLEFINANCE(""Currency:USDEUR""),
IF($D61=""Franco Suíço"",'Data in Local Currency'!E61*GOOGLEFINANCE(""Currency:CHFEUR""),
IF($D61=""Libra Esterlina"", 'Data "&amp;"in Local Currency'!E61*GOOGLEFINANCE(""Currency:GBPEUR""),
IF($D61=""Iene"",'Data in Local Currency'!E61*GOOGLEFINANCE(""Currency:JPYEUR""),
IF($D61=""HKD"",'Data in Local Currency'!E61*GOOGLEFINANCE(""Currency:HKDEUR""),
IF($D61=""KRW"",'Data in Local Cu"&amp;"rrency'!E61*GOOGLEFINANCE(""Currency:KRWEUR""),"""")))))))"),2.79)</f>
        <v>2.79</v>
      </c>
      <c r="M61" s="20">
        <f>'Data in Local Currency'!F61</f>
        <v>2014</v>
      </c>
      <c r="N61" s="15">
        <f>IFERROR(__xludf.DUMMYFUNCTION("IF($D61=""Euro"",'Data in Local Currency'!G61,
IF($D61=""Dolar"",'Data in Local Currency'!G61*GOOGLEFINANCE(""Currency:USDEUR""),
IF($D61=""Franco Suíço"",'Data in Local Currency'!G61*GOOGLEFINANCE(""Currency:CHFEUR""),
IF($D61=""Libra Esterlina"", 'Data "&amp;"in Local Currency'!G61*GOOGLEFINANCE(""Currency:GBPEUR""),
IF($D61=""Iene"",'Data in Local Currency'!G61*GOOGLEFINANCE(""Currency:JPYEUR""),
IF($D61=""HKD"",'Data in Local Currency'!G61*GOOGLEFINANCE(""Currency:HKDEUR""),
IF($D61=""KRW"",'Data in Local Cu"&amp;"rrency'!G61*GOOGLEFINANCE(""Currency:KRWEUR""),"""")))))))"),4.94)</f>
        <v>4.94</v>
      </c>
      <c r="O61" s="15">
        <v>3.84</v>
      </c>
      <c r="P61" s="11">
        <v>0.19</v>
      </c>
      <c r="Q61" s="17">
        <v>0.01</v>
      </c>
      <c r="R61" s="11" t="s">
        <v>32</v>
      </c>
      <c r="S61" s="17"/>
    </row>
    <row r="62">
      <c r="A62" s="11" t="s">
        <v>205</v>
      </c>
      <c r="B62" s="11" t="s">
        <v>206</v>
      </c>
      <c r="C62" s="11" t="s">
        <v>207</v>
      </c>
      <c r="D62" s="12" t="s">
        <v>26</v>
      </c>
      <c r="E62" s="11">
        <v>3.8</v>
      </c>
      <c r="F62" s="11">
        <v>3.8</v>
      </c>
      <c r="G62" s="11">
        <v>3.4</v>
      </c>
      <c r="H62" s="13">
        <v>2.8</v>
      </c>
      <c r="I62" s="11">
        <v>10.0</v>
      </c>
      <c r="J62" s="11">
        <v>63.0</v>
      </c>
      <c r="K62" s="14">
        <v>60.0</v>
      </c>
      <c r="L62" s="15">
        <f>IFERROR(__xludf.DUMMYFUNCTION("IF($D62=""Euro"",'Data in Local Currency'!E62,
IF($D62=""Dolar"",'Data in Local Currency'!E62*GOOGLEFINANCE(""Currency:USDEUR""),
IF($D62=""Franco Suíço"",'Data in Local Currency'!E62*GOOGLEFINANCE(""Currency:CHFEUR""),
IF($D62=""Libra Esterlina"", 'Data "&amp;"in Local Currency'!E62*GOOGLEFINANCE(""Currency:GBPEUR""),
IF($D62=""Iene"",'Data in Local Currency'!E62*GOOGLEFINANCE(""Currency:JPYEUR""),
IF($D62=""HKD"",'Data in Local Currency'!E62*GOOGLEFINANCE(""Currency:HKDEUR""),
IF($D62=""KRW"",'Data in Local Cu"&amp;"rrency'!E62*GOOGLEFINANCE(""Currency:KRWEUR""),"""")))))))"),1.2049)</f>
        <v>1.2049</v>
      </c>
      <c r="M62" s="20">
        <f>'Data in Local Currency'!F62</f>
        <v>2001</v>
      </c>
      <c r="N62" s="15">
        <f>IFERROR(__xludf.DUMMYFUNCTION("IF($D62=""Euro"",'Data in Local Currency'!G62,
IF($D62=""Dolar"",'Data in Local Currency'!G62*GOOGLEFINANCE(""Currency:USDEUR""),
IF($D62=""Franco Suíço"",'Data in Local Currency'!G62*GOOGLEFINANCE(""Currency:CHFEUR""),
IF($D62=""Libra Esterlina"", 'Data "&amp;"in Local Currency'!G62*GOOGLEFINANCE(""Currency:GBPEUR""),
IF($D62=""Iene"",'Data in Local Currency'!G62*GOOGLEFINANCE(""Currency:JPYEUR""),
IF($D62=""HKD"",'Data in Local Currency'!G62*GOOGLEFINANCE(""Currency:HKDEUR""),
IF($D62=""KRW"",'Data in Local Cu"&amp;"rrency'!G62*GOOGLEFINANCE(""Currency:KRWEUR""),"""")))))))"),3.204)</f>
        <v>3.204</v>
      </c>
      <c r="O62" s="15">
        <v>1.89</v>
      </c>
      <c r="P62" s="11">
        <v>19.72</v>
      </c>
      <c r="Q62" s="17">
        <v>1.55</v>
      </c>
      <c r="R62" s="11" t="s">
        <v>27</v>
      </c>
      <c r="S62" s="17">
        <v>1.0</v>
      </c>
    </row>
    <row r="63">
      <c r="A63" s="11" t="s">
        <v>208</v>
      </c>
      <c r="B63" s="11" t="s">
        <v>209</v>
      </c>
      <c r="C63" s="11" t="s">
        <v>210</v>
      </c>
      <c r="D63" s="12" t="s">
        <v>26</v>
      </c>
      <c r="E63" s="11">
        <v>3.9</v>
      </c>
      <c r="F63" s="11">
        <v>3.9</v>
      </c>
      <c r="G63" s="11">
        <v>3.2</v>
      </c>
      <c r="H63" s="13" t="s">
        <v>42</v>
      </c>
      <c r="I63" s="11" t="s">
        <v>42</v>
      </c>
      <c r="J63" s="11" t="s">
        <v>42</v>
      </c>
      <c r="K63" s="14" t="s">
        <v>42</v>
      </c>
      <c r="L63" s="15">
        <f>IFERROR(__xludf.DUMMYFUNCTION("IF($D63=""Euro"",'Data in Local Currency'!E63,
IF($D63=""Dolar"",'Data in Local Currency'!E63*GOOGLEFINANCE(""Currency:USDEUR""),
IF($D63=""Franco Suíço"",'Data in Local Currency'!E63*GOOGLEFINANCE(""Currency:CHFEUR""),
IF($D63=""Libra Esterlina"", 'Data "&amp;"in Local Currency'!E63*GOOGLEFINANCE(""Currency:GBPEUR""),
IF($D63=""Iene"",'Data in Local Currency'!E63*GOOGLEFINANCE(""Currency:JPYEUR""),
IF($D63=""HKD"",'Data in Local Currency'!E63*GOOGLEFINANCE(""Currency:HKDEUR""),
IF($D63=""KRW"",'Data in Local Cu"&amp;"rrency'!E63*GOOGLEFINANCE(""Currency:KRWEUR""),"""")))))))"),17.12)</f>
        <v>17.12</v>
      </c>
      <c r="M63" s="20">
        <f>'Data in Local Currency'!F63</f>
        <v>2001</v>
      </c>
      <c r="N63" s="15">
        <f>IFERROR(__xludf.DUMMYFUNCTION("IF($D63=""Euro"",'Data in Local Currency'!G63,
IF($D63=""Dolar"",'Data in Local Currency'!G63*GOOGLEFINANCE(""Currency:USDEUR""),
IF($D63=""Franco Suíço"",'Data in Local Currency'!G63*GOOGLEFINANCE(""Currency:CHFEUR""),
IF($D63=""Libra Esterlina"", 'Data "&amp;"in Local Currency'!G63*GOOGLEFINANCE(""Currency:GBPEUR""),
IF($D63=""Iene"",'Data in Local Currency'!G63*GOOGLEFINANCE(""Currency:JPYEUR""),
IF($D63=""HKD"",'Data in Local Currency'!G63*GOOGLEFINANCE(""Currency:HKDEUR""),
IF($D63=""KRW"",'Data in Local Cu"&amp;"rrency'!G63*GOOGLEFINANCE(""Currency:KRWEUR""),"""")))))))"),38.99)</f>
        <v>38.99</v>
      </c>
      <c r="O63" s="15">
        <v>12.05</v>
      </c>
      <c r="P63" s="11">
        <v>4.49</v>
      </c>
      <c r="Q63" s="17">
        <v>0.83</v>
      </c>
      <c r="R63" s="11" t="s">
        <v>27</v>
      </c>
      <c r="S63" s="17">
        <v>0.0</v>
      </c>
    </row>
    <row r="64">
      <c r="A64" s="11" t="s">
        <v>211</v>
      </c>
      <c r="B64" s="11" t="s">
        <v>212</v>
      </c>
      <c r="C64" s="11" t="s">
        <v>213</v>
      </c>
      <c r="D64" s="12" t="s">
        <v>26</v>
      </c>
      <c r="E64" s="11">
        <v>2.4</v>
      </c>
      <c r="F64" s="11">
        <v>2.0</v>
      </c>
      <c r="G64" s="11">
        <v>2.4</v>
      </c>
      <c r="H64" s="13" t="s">
        <v>42</v>
      </c>
      <c r="I64" s="11" t="s">
        <v>42</v>
      </c>
      <c r="J64" s="11" t="s">
        <v>42</v>
      </c>
      <c r="K64" s="14" t="s">
        <v>42</v>
      </c>
      <c r="L64" s="15">
        <f>IFERROR(__xludf.DUMMYFUNCTION("IF($D64=""Euro"",'Data in Local Currency'!E64,
IF($D64=""Dolar"",'Data in Local Currency'!E64*GOOGLEFINANCE(""Currency:USDEUR""),
IF($D64=""Franco Suíço"",'Data in Local Currency'!E64*GOOGLEFINANCE(""Currency:CHFEUR""),
IF($D64=""Libra Esterlina"", 'Data "&amp;"in Local Currency'!E64*GOOGLEFINANCE(""Currency:GBPEUR""),
IF($D64=""Iene"",'Data in Local Currency'!E64*GOOGLEFINANCE(""Currency:JPYEUR""),
IF($D64=""HKD"",'Data in Local Currency'!E64*GOOGLEFINANCE(""Currency:HKDEUR""),
IF($D64=""KRW"",'Data in Local Cu"&amp;"rrency'!E64*GOOGLEFINANCE(""Currency:KRWEUR""),"""")))))))"),0.09)</f>
        <v>0.09</v>
      </c>
      <c r="M64" s="20">
        <f>'Data in Local Currency'!F64</f>
        <v>2006</v>
      </c>
      <c r="N64" s="15">
        <f>IFERROR(__xludf.DUMMYFUNCTION("IF($D64=""Euro"",'Data in Local Currency'!G64,
IF($D64=""Dolar"",'Data in Local Currency'!G64*GOOGLEFINANCE(""Currency:USDEUR""),
IF($D64=""Franco Suíço"",'Data in Local Currency'!G64*GOOGLEFINANCE(""Currency:CHFEUR""),
IF($D64=""Libra Esterlina"", 'Data "&amp;"in Local Currency'!G64*GOOGLEFINANCE(""Currency:GBPEUR""),
IF($D64=""Iene"",'Data in Local Currency'!G64*GOOGLEFINANCE(""Currency:JPYEUR""),
IF($D64=""HKD"",'Data in Local Currency'!G64*GOOGLEFINANCE(""Currency:HKDEUR""),
IF($D64=""KRW"",'Data in Local Cu"&amp;"rrency'!G64*GOOGLEFINANCE(""Currency:KRWEUR""),"""")))))))"),4.55)</f>
        <v>4.55</v>
      </c>
      <c r="O64" s="15">
        <v>8.05</v>
      </c>
      <c r="P64" s="11">
        <v>0.87</v>
      </c>
      <c r="Q64" s="17"/>
      <c r="R64" s="11" t="s">
        <v>27</v>
      </c>
      <c r="S64" s="17">
        <v>0.0</v>
      </c>
    </row>
    <row r="65">
      <c r="A65" s="11" t="s">
        <v>214</v>
      </c>
      <c r="B65" s="11" t="s">
        <v>215</v>
      </c>
      <c r="C65" s="11" t="s">
        <v>216</v>
      </c>
      <c r="D65" s="12" t="s">
        <v>31</v>
      </c>
      <c r="E65" s="11">
        <v>3.4</v>
      </c>
      <c r="F65" s="11">
        <v>3.0</v>
      </c>
      <c r="G65" s="11">
        <v>3.1</v>
      </c>
      <c r="H65" s="13" t="s">
        <v>42</v>
      </c>
      <c r="I65" s="11" t="s">
        <v>42</v>
      </c>
      <c r="J65" s="11" t="s">
        <v>42</v>
      </c>
      <c r="K65" s="14" t="s">
        <v>42</v>
      </c>
      <c r="L65" s="15">
        <f>IFERROR(__xludf.DUMMYFUNCTION("IF($D65=""Euro"",'Data in Local Currency'!E65,
IF($D65=""Dolar"",'Data in Local Currency'!E65*GOOGLEFINANCE(""Currency:USDEUR""),
IF($D65=""Franco Suíço"",'Data in Local Currency'!E65*GOOGLEFINANCE(""Currency:CHFEUR""),
IF($D65=""Libra Esterlina"", 'Data "&amp;"in Local Currency'!E65*GOOGLEFINANCE(""Currency:GBPEUR""),
IF($D65=""Iene"",'Data in Local Currency'!E65*GOOGLEFINANCE(""Currency:JPYEUR""),
IF($D65=""HKD"",'Data in Local Currency'!E65*GOOGLEFINANCE(""Currency:HKDEUR""),
IF($D65=""KRW"",'Data in Local Cu"&amp;"rrency'!E65*GOOGLEFINANCE(""Currency:KRWEUR""),"""")))))))"),896.11515)</f>
        <v>896.11515</v>
      </c>
      <c r="M65" s="20">
        <f>'Data in Local Currency'!F65</f>
        <v>1999</v>
      </c>
      <c r="N65" s="15">
        <f>IFERROR(__xludf.DUMMYFUNCTION("IF($D65=""Euro"",'Data in Local Currency'!G65,
IF($D65=""Dolar"",'Data in Local Currency'!G65*GOOGLEFINANCE(""Currency:USDEUR""),
IF($D65=""Franco Suíço"",'Data in Local Currency'!G65*GOOGLEFINANCE(""Currency:CHFEUR""),
IF($D65=""Libra Esterlina"", 'Data "&amp;"in Local Currency'!G65*GOOGLEFINANCE(""Currency:GBPEUR""),
IF($D65=""Iene"",'Data in Local Currency'!G65*GOOGLEFINANCE(""Currency:JPYEUR""),
IF($D65=""HKD"",'Data in Local Currency'!G65*GOOGLEFINANCE(""Currency:HKDEUR""),
IF($D65=""KRW"",'Data in Local Cu"&amp;"rrency'!G65*GOOGLEFINANCE(""Currency:KRWEUR""),"""")))))))"),1698.7050359999998)</f>
        <v>1698.705036</v>
      </c>
      <c r="O65" s="15">
        <v>1986.34</v>
      </c>
      <c r="P65" s="11">
        <v>9.98</v>
      </c>
      <c r="Q65" s="17">
        <v>2.95</v>
      </c>
      <c r="R65" s="11" t="s">
        <v>32</v>
      </c>
      <c r="S65" s="17"/>
    </row>
    <row r="66">
      <c r="A66" s="11" t="s">
        <v>217</v>
      </c>
      <c r="B66" s="11" t="s">
        <v>218</v>
      </c>
      <c r="C66" s="11" t="s">
        <v>219</v>
      </c>
      <c r="D66" s="12" t="s">
        <v>26</v>
      </c>
      <c r="E66" s="11">
        <v>4.0</v>
      </c>
      <c r="F66" s="11">
        <v>4.0</v>
      </c>
      <c r="G66" s="11">
        <v>3.5</v>
      </c>
      <c r="H66" s="13" t="s">
        <v>42</v>
      </c>
      <c r="I66" s="11" t="s">
        <v>42</v>
      </c>
      <c r="J66" s="11" t="s">
        <v>42</v>
      </c>
      <c r="K66" s="14" t="s">
        <v>42</v>
      </c>
      <c r="L66" s="15">
        <f>IFERROR(__xludf.DUMMYFUNCTION("IF($D66=""Euro"",'Data in Local Currency'!E66,
IF($D66=""Dolar"",'Data in Local Currency'!E66*GOOGLEFINANCE(""Currency:USDEUR""),
IF($D66=""Franco Suíço"",'Data in Local Currency'!E66*GOOGLEFINANCE(""Currency:CHFEUR""),
IF($D66=""Libra Esterlina"", 'Data "&amp;"in Local Currency'!E66*GOOGLEFINANCE(""Currency:GBPEUR""),
IF($D66=""Iene"",'Data in Local Currency'!E66*GOOGLEFINANCE(""Currency:JPYEUR""),
IF($D66=""HKD"",'Data in Local Currency'!E66*GOOGLEFINANCE(""Currency:HKDEUR""),
IF($D66=""KRW"",'Data in Local Cu"&amp;"rrency'!E66*GOOGLEFINANCE(""Currency:KRWEUR""),"""")))))))"),13.6)</f>
        <v>13.6</v>
      </c>
      <c r="M66" s="20">
        <f>'Data in Local Currency'!F66</f>
        <v>2000</v>
      </c>
      <c r="N66" s="15">
        <f>IFERROR(__xludf.DUMMYFUNCTION("IF($D66=""Euro"",'Data in Local Currency'!G66,
IF($D66=""Dolar"",'Data in Local Currency'!G66*GOOGLEFINANCE(""Currency:USDEUR""),
IF($D66=""Franco Suíço"",'Data in Local Currency'!G66*GOOGLEFINANCE(""Currency:CHFEUR""),
IF($D66=""Libra Esterlina"", 'Data "&amp;"in Local Currency'!G66*GOOGLEFINANCE(""Currency:GBPEUR""),
IF($D66=""Iene"",'Data in Local Currency'!G66*GOOGLEFINANCE(""Currency:JPYEUR""),
IF($D66=""HKD"",'Data in Local Currency'!G66*GOOGLEFINANCE(""Currency:HKDEUR""),
IF($D66=""KRW"",'Data in Local Cu"&amp;"rrency'!G66*GOOGLEFINANCE(""Currency:KRWEUR""),"""")))))))"),3.42)</f>
        <v>3.42</v>
      </c>
      <c r="O66" s="15">
        <v>5.39</v>
      </c>
      <c r="P66" s="11">
        <v>0.24</v>
      </c>
      <c r="Q66" s="17">
        <v>0.03</v>
      </c>
      <c r="R66" s="11" t="s">
        <v>32</v>
      </c>
      <c r="S66" s="17"/>
    </row>
    <row r="67">
      <c r="A67" s="11" t="s">
        <v>220</v>
      </c>
      <c r="B67" s="11" t="s">
        <v>221</v>
      </c>
      <c r="C67" s="11" t="s">
        <v>222</v>
      </c>
      <c r="D67" s="12" t="s">
        <v>26</v>
      </c>
      <c r="E67" s="11">
        <v>3.9</v>
      </c>
      <c r="F67" s="11">
        <v>3.7</v>
      </c>
      <c r="G67" s="11">
        <v>3.3</v>
      </c>
      <c r="H67" s="13" t="s">
        <v>42</v>
      </c>
      <c r="I67" s="11" t="s">
        <v>42</v>
      </c>
      <c r="J67" s="11" t="s">
        <v>42</v>
      </c>
      <c r="K67" s="14" t="s">
        <v>42</v>
      </c>
      <c r="L67" s="15">
        <f>IFERROR(__xludf.DUMMYFUNCTION("IF($D67=""Euro"",'Data in Local Currency'!E67,
IF($D67=""Dolar"",'Data in Local Currency'!E67*GOOGLEFINANCE(""Currency:USDEUR""),
IF($D67=""Franco Suíço"",'Data in Local Currency'!E67*GOOGLEFINANCE(""Currency:CHFEUR""),
IF($D67=""Libra Esterlina"", 'Data "&amp;"in Local Currency'!E67*GOOGLEFINANCE(""Currency:GBPEUR""),
IF($D67=""Iene"",'Data in Local Currency'!E67*GOOGLEFINANCE(""Currency:JPYEUR""),
IF($D67=""HKD"",'Data in Local Currency'!E67*GOOGLEFINANCE(""Currency:HKDEUR""),
IF($D67=""KRW"",'Data in Local Cu"&amp;"rrency'!E67*GOOGLEFINANCE(""Currency:KRWEUR""),"""")))))))"),16.16)</f>
        <v>16.16</v>
      </c>
      <c r="M67" s="20">
        <f>'Data in Local Currency'!F67</f>
        <v>2002</v>
      </c>
      <c r="N67" s="15">
        <f>IFERROR(__xludf.DUMMYFUNCTION("IF($D67=""Euro"",'Data in Local Currency'!G67,
IF($D67=""Dolar"",'Data in Local Currency'!G67*GOOGLEFINANCE(""Currency:USDEUR""),
IF($D67=""Franco Suíço"",'Data in Local Currency'!G67*GOOGLEFINANCE(""Currency:CHFEUR""),
IF($D67=""Libra Esterlina"", 'Data "&amp;"in Local Currency'!G67*GOOGLEFINANCE(""Currency:GBPEUR""),
IF($D67=""Iene"",'Data in Local Currency'!G67*GOOGLEFINANCE(""Currency:JPYEUR""),
IF($D67=""HKD"",'Data in Local Currency'!G67*GOOGLEFINANCE(""Currency:HKDEUR""),
IF($D67=""KRW"",'Data in Local Cu"&amp;"rrency'!G67*GOOGLEFINANCE(""Currency:KRWEUR""),"""")))))))"),13.14)</f>
        <v>13.14</v>
      </c>
      <c r="O67" s="15">
        <v>11.05</v>
      </c>
      <c r="P67" s="11">
        <v>22.66</v>
      </c>
      <c r="Q67" s="17"/>
      <c r="R67" s="11" t="s">
        <v>27</v>
      </c>
      <c r="S67" s="17">
        <v>1.0</v>
      </c>
    </row>
    <row r="68">
      <c r="A68" s="11" t="s">
        <v>223</v>
      </c>
      <c r="B68" s="11" t="s">
        <v>224</v>
      </c>
      <c r="C68" s="11" t="s">
        <v>225</v>
      </c>
      <c r="D68" s="12" t="s">
        <v>26</v>
      </c>
      <c r="E68" s="11">
        <v>3.5</v>
      </c>
      <c r="F68" s="11">
        <v>3.5</v>
      </c>
      <c r="G68" s="11">
        <v>3.2</v>
      </c>
      <c r="H68" s="13" t="s">
        <v>42</v>
      </c>
      <c r="I68" s="11" t="s">
        <v>42</v>
      </c>
      <c r="J68" s="11" t="s">
        <v>42</v>
      </c>
      <c r="K68" s="14" t="s">
        <v>42</v>
      </c>
      <c r="L68" s="15">
        <f>IFERROR(__xludf.DUMMYFUNCTION("IF($D68=""Euro"",'Data in Local Currency'!E68,
IF($D68=""Dolar"",'Data in Local Currency'!E68*GOOGLEFINANCE(""Currency:USDEUR""),
IF($D68=""Franco Suíço"",'Data in Local Currency'!E68*GOOGLEFINANCE(""Currency:CHFEUR""),
IF($D68=""Libra Esterlina"", 'Data "&amp;"in Local Currency'!E68*GOOGLEFINANCE(""Currency:GBPEUR""),
IF($D68=""Iene"",'Data in Local Currency'!E68*GOOGLEFINANCE(""Currency:JPYEUR""),
IF($D68=""HKD"",'Data in Local Currency'!E68*GOOGLEFINANCE(""Currency:HKDEUR""),
IF($D68=""KRW"",'Data in Local Cu"&amp;"rrency'!E68*GOOGLEFINANCE(""Currency:KRWEUR""),"""")))))))"),9.75)</f>
        <v>9.75</v>
      </c>
      <c r="M68" s="20">
        <f>'Data in Local Currency'!F68</f>
        <v>2007</v>
      </c>
      <c r="N68" s="15">
        <f>IFERROR(__xludf.DUMMYFUNCTION("IF($D68=""Euro"",'Data in Local Currency'!G68,
IF($D68=""Dolar"",'Data in Local Currency'!G68*GOOGLEFINANCE(""Currency:USDEUR""),
IF($D68=""Franco Suíço"",'Data in Local Currency'!G68*GOOGLEFINANCE(""Currency:CHFEUR""),
IF($D68=""Libra Esterlina"", 'Data "&amp;"in Local Currency'!G68*GOOGLEFINANCE(""Currency:GBPEUR""),
IF($D68=""Iene"",'Data in Local Currency'!G68*GOOGLEFINANCE(""Currency:JPYEUR""),
IF($D68=""HKD"",'Data in Local Currency'!G68*GOOGLEFINANCE(""Currency:HKDEUR""),
IF($D68=""KRW"",'Data in Local Cu"&amp;"rrency'!G68*GOOGLEFINANCE(""Currency:KRWEUR""),"""")))))))"),21.26)</f>
        <v>21.26</v>
      </c>
      <c r="O68" s="15">
        <v>26.64</v>
      </c>
      <c r="P68" s="11">
        <v>4.98</v>
      </c>
      <c r="Q68" s="17">
        <v>0.97</v>
      </c>
      <c r="R68" s="19" t="s">
        <v>32</v>
      </c>
      <c r="S68" s="17"/>
    </row>
    <row r="69">
      <c r="A69" s="11" t="s">
        <v>226</v>
      </c>
      <c r="B69" s="11" t="s">
        <v>227</v>
      </c>
      <c r="C69" s="11" t="s">
        <v>228</v>
      </c>
      <c r="D69" s="12" t="s">
        <v>229</v>
      </c>
      <c r="E69" s="11">
        <v>4.1</v>
      </c>
      <c r="F69" s="11">
        <v>3.8</v>
      </c>
      <c r="G69" s="11">
        <v>3.5</v>
      </c>
      <c r="H69" s="13" t="s">
        <v>42</v>
      </c>
      <c r="I69" s="11" t="s">
        <v>42</v>
      </c>
      <c r="J69" s="11" t="s">
        <v>42</v>
      </c>
      <c r="K69" s="14" t="s">
        <v>42</v>
      </c>
      <c r="L69" s="15">
        <f>IFERROR(__xludf.DUMMYFUNCTION("IF($D69=""Euro"",'Data in Local Currency'!E69,
IF($D69=""Dolar"",'Data in Local Currency'!E69*GOOGLEFINANCE(""Currency:USDEUR""),
IF($D69=""Franco Suíço"",'Data in Local Currency'!E69*GOOGLEFINANCE(""Currency:CHFEUR""),
IF($D69=""Libra Esterlina"", 'Data "&amp;"in Local Currency'!E69*GOOGLEFINANCE(""Currency:GBPEUR""),
IF($D69=""Iene"",'Data in Local Currency'!E69*GOOGLEFINANCE(""Currency:JPYEUR""),
IF($D69=""HKD"",'Data in Local Currency'!E69*GOOGLEFINANCE(""Currency:HKDEUR""),
IF($D69=""KRW"",'Data in Local Cu"&amp;"rrency'!E69*GOOGLEFINANCE(""Currency:KRWEUR""),"""")))))))"),0.728323748)</f>
        <v>0.728323748</v>
      </c>
      <c r="M69" s="20">
        <f>'Data in Local Currency'!F69</f>
        <v>2000</v>
      </c>
      <c r="N69" s="15">
        <f>IFERROR(__xludf.DUMMYFUNCTION("IF($D69=""Euro"",'Data in Local Currency'!G69,
IF($D69=""Dolar"",'Data in Local Currency'!G69*GOOGLEFINANCE(""Currency:USDEUR""),
IF($D69=""Franco Suíço"",'Data in Local Currency'!G69*GOOGLEFINANCE(""Currency:CHFEUR""),
IF($D69=""Libra Esterlina"", 'Data "&amp;"in Local Currency'!G69*GOOGLEFINANCE(""Currency:GBPEUR""),
IF($D69=""Iene"",'Data in Local Currency'!G69*GOOGLEFINANCE(""Currency:JPYEUR""),
IF($D69=""HKD"",'Data in Local Currency'!G69*GOOGLEFINANCE(""Currency:HKDEUR""),
IF($D69=""KRW"",'Data in Local Cu"&amp;"rrency'!G69*GOOGLEFINANCE(""Currency:KRWEUR""),"""")))))))"),1.30736812)</f>
        <v>1.30736812</v>
      </c>
      <c r="O69" s="15">
        <v>0.72</v>
      </c>
      <c r="P69" s="11">
        <v>1.13</v>
      </c>
      <c r="Q69" s="17">
        <v>0.12</v>
      </c>
      <c r="R69" s="11" t="s">
        <v>27</v>
      </c>
      <c r="S69" s="17">
        <v>0.0</v>
      </c>
    </row>
    <row r="70">
      <c r="A70" s="11" t="s">
        <v>230</v>
      </c>
      <c r="B70" s="11" t="s">
        <v>231</v>
      </c>
      <c r="C70" s="11" t="s">
        <v>232</v>
      </c>
      <c r="D70" s="12" t="s">
        <v>26</v>
      </c>
      <c r="E70" s="11">
        <v>4.0</v>
      </c>
      <c r="F70" s="11">
        <v>3.7</v>
      </c>
      <c r="G70" s="11">
        <v>3.5</v>
      </c>
      <c r="H70" s="13">
        <v>2.8</v>
      </c>
      <c r="I70" s="11">
        <v>12.0</v>
      </c>
      <c r="J70" s="11">
        <v>65.0</v>
      </c>
      <c r="K70" s="14">
        <v>64.0</v>
      </c>
      <c r="L70" s="15">
        <f>IFERROR(__xludf.DUMMYFUNCTION("IF($D70=""Euro"",'Data in Local Currency'!E70,
IF($D70=""Dolar"",'Data in Local Currency'!E70*GOOGLEFINANCE(""Currency:USDEUR""),
IF($D70=""Franco Suíço"",'Data in Local Currency'!E70*GOOGLEFINANCE(""Currency:CHFEUR""),
IF($D70=""Libra Esterlina"", 'Data "&amp;"in Local Currency'!E70*GOOGLEFINANCE(""Currency:GBPEUR""),
IF($D70=""Iene"",'Data in Local Currency'!E70*GOOGLEFINANCE(""Currency:JPYEUR""),
IF($D70=""HKD"",'Data in Local Currency'!E70*GOOGLEFINANCE(""Currency:HKDEUR""),
IF($D70=""KRW"",'Data in Local Cu"&amp;"rrency'!E70*GOOGLEFINANCE(""Currency:KRWEUR""),"""")))))))"),46.25)</f>
        <v>46.25</v>
      </c>
      <c r="M70" s="20">
        <f>'Data in Local Currency'!F70</f>
        <v>2005</v>
      </c>
      <c r="N70" s="15">
        <f>IFERROR(__xludf.DUMMYFUNCTION("IF($D70=""Euro"",'Data in Local Currency'!G70,
IF($D70=""Dolar"",'Data in Local Currency'!G70*GOOGLEFINANCE(""Currency:USDEUR""),
IF($D70=""Franco Suíço"",'Data in Local Currency'!G70*GOOGLEFINANCE(""Currency:CHFEUR""),
IF($D70=""Libra Esterlina"", 'Data "&amp;"in Local Currency'!G70*GOOGLEFINANCE(""Currency:GBPEUR""),
IF($D70=""Iene"",'Data in Local Currency'!G70*GOOGLEFINANCE(""Currency:JPYEUR""),
IF($D70=""HKD"",'Data in Local Currency'!G70*GOOGLEFINANCE(""Currency:HKDEUR""),
IF($D70=""KRW"",'Data in Local Cu"&amp;"rrency'!G70*GOOGLEFINANCE(""Currency:KRWEUR""),"""")))))))"),21.73)</f>
        <v>21.73</v>
      </c>
      <c r="O70" s="15">
        <v>30.56</v>
      </c>
      <c r="P70" s="11">
        <v>69.73</v>
      </c>
      <c r="Q70" s="17">
        <v>17.67</v>
      </c>
      <c r="R70" s="11" t="s">
        <v>27</v>
      </c>
      <c r="S70" s="17">
        <v>2.0</v>
      </c>
    </row>
    <row r="71">
      <c r="A71" s="11" t="s">
        <v>233</v>
      </c>
      <c r="B71" s="11" t="s">
        <v>234</v>
      </c>
      <c r="C71" s="11" t="s">
        <v>235</v>
      </c>
      <c r="D71" s="12" t="s">
        <v>31</v>
      </c>
      <c r="E71" s="11">
        <v>4.1</v>
      </c>
      <c r="F71" s="11">
        <v>4.1</v>
      </c>
      <c r="G71" s="11">
        <v>3.7</v>
      </c>
      <c r="H71" s="13">
        <v>4.0</v>
      </c>
      <c r="I71" s="11">
        <v>24.0</v>
      </c>
      <c r="J71" s="11">
        <v>76.0</v>
      </c>
      <c r="K71" s="14">
        <v>73.0</v>
      </c>
      <c r="L71" s="15">
        <f>IFERROR(__xludf.DUMMYFUNCTION("IF($D71=""Euro"",'Data in Local Currency'!E71,
IF($D71=""Dolar"",'Data in Local Currency'!E71*GOOGLEFINANCE(""Currency:USDEUR""),
IF($D71=""Franco Suíço"",'Data in Local Currency'!E71*GOOGLEFINANCE(""Currency:CHFEUR""),
IF($D71=""Libra Esterlina"", 'Data "&amp;"in Local Currency'!E71*GOOGLEFINANCE(""Currency:GBPEUR""),
IF($D71=""Iene"",'Data in Local Currency'!E71*GOOGLEFINANCE(""Currency:JPYEUR""),
IF($D71=""HKD"",'Data in Local Currency'!E71*GOOGLEFINANCE(""Currency:HKDEUR""),
IF($D71=""KRW"",'Data in Local Cu"&amp;"rrency'!E71*GOOGLEFINANCE(""Currency:KRWEUR""),"""")))))))"),41.391)</f>
        <v>41.391</v>
      </c>
      <c r="M71" s="20">
        <f>'Data in Local Currency'!F71</f>
        <v>2013</v>
      </c>
      <c r="N71" s="15">
        <f>IFERROR(__xludf.DUMMYFUNCTION("IF($D71=""Euro"",'Data in Local Currency'!G71,
IF($D71=""Dolar"",'Data in Local Currency'!G71*GOOGLEFINANCE(""Currency:USDEUR""),
IF($D71=""Franco Suíço"",'Data in Local Currency'!G71*GOOGLEFINANCE(""Currency:CHFEUR""),
IF($D71=""Libra Esterlina"", 'Data "&amp;"in Local Currency'!G71*GOOGLEFINANCE(""Currency:GBPEUR""),
IF($D71=""Iene"",'Data in Local Currency'!G71*GOOGLEFINANCE(""Currency:JPYEUR""),
IF($D71=""HKD"",'Data in Local Currency'!G71*GOOGLEFINANCE(""Currency:HKDEUR""),
IF($D71=""KRW"",'Data in Local Cu"&amp;"rrency'!G71*GOOGLEFINANCE(""Currency:KRWEUR""),"""")))))))"),54.24060599999999)</f>
        <v>54.240606</v>
      </c>
      <c r="O71" s="15">
        <v>136.59</v>
      </c>
      <c r="P71" s="11">
        <v>5.3</v>
      </c>
      <c r="Q71" s="17">
        <v>1.13</v>
      </c>
      <c r="R71" s="11" t="s">
        <v>27</v>
      </c>
      <c r="S71" s="17">
        <v>3.0</v>
      </c>
    </row>
    <row r="72">
      <c r="A72" s="11" t="s">
        <v>236</v>
      </c>
      <c r="B72" s="11" t="s">
        <v>237</v>
      </c>
      <c r="C72" s="11" t="s">
        <v>238</v>
      </c>
      <c r="D72" s="12" t="s">
        <v>229</v>
      </c>
      <c r="E72" s="11">
        <v>4.1</v>
      </c>
      <c r="F72" s="11">
        <v>4.1</v>
      </c>
      <c r="G72" s="11">
        <v>3.7</v>
      </c>
      <c r="H72" s="13">
        <v>2.6</v>
      </c>
      <c r="I72" s="11">
        <v>0.0</v>
      </c>
      <c r="J72" s="11">
        <v>64.0</v>
      </c>
      <c r="K72" s="14">
        <v>53.0</v>
      </c>
      <c r="L72" s="15">
        <f>IFERROR(__xludf.DUMMYFUNCTION("IF($D72=""Euro"",'Data in Local Currency'!E72,
IF($D72=""Dolar"",'Data in Local Currency'!E72*GOOGLEFINANCE(""Currency:USDEUR""),
IF($D72=""Franco Suíço"",'Data in Local Currency'!E72*GOOGLEFINANCE(""Currency:CHFEUR""),
IF($D72=""Libra Esterlina"", 'Data "&amp;"in Local Currency'!E72*GOOGLEFINANCE(""Currency:GBPEUR""),
IF($D72=""Iene"",'Data in Local Currency'!E72*GOOGLEFINANCE(""Currency:JPYEUR""),
IF($D72=""HKD"",'Data in Local Currency'!E72*GOOGLEFINANCE(""Currency:HKDEUR""),
IF($D72=""KRW"",'Data in Local Cu"&amp;"rrency'!E72*GOOGLEFINANCE(""Currency:KRWEUR""),"""")))))))"),1.1231160599999999)</f>
        <v>1.12311606</v>
      </c>
      <c r="M72" s="20">
        <f>'Data in Local Currency'!F72</f>
        <v>2009</v>
      </c>
      <c r="N72" s="15">
        <f>IFERROR(__xludf.DUMMYFUNCTION("IF($D72=""Euro"",'Data in Local Currency'!G72,
IF($D72=""Dolar"",'Data in Local Currency'!G72*GOOGLEFINANCE(""Currency:USDEUR""),
IF($D72=""Franco Suíço"",'Data in Local Currency'!G72*GOOGLEFINANCE(""Currency:CHFEUR""),
IF($D72=""Libra Esterlina"", 'Data "&amp;"in Local Currency'!G72*GOOGLEFINANCE(""Currency:GBPEUR""),
IF($D72=""Iene"",'Data in Local Currency'!G72*GOOGLEFINANCE(""Currency:JPYEUR""),
IF($D72=""HKD"",'Data in Local Currency'!G72*GOOGLEFINANCE(""Currency:HKDEUR""),
IF($D72=""KRW"",'Data in Local Cu"&amp;"rrency'!G72*GOOGLEFINANCE(""Currency:KRWEUR""),"""")))))))"),2.0068218)</f>
        <v>2.0068218</v>
      </c>
      <c r="O72" s="15">
        <v>0.67</v>
      </c>
      <c r="P72" s="11">
        <v>1.37</v>
      </c>
      <c r="Q72" s="17">
        <v>0.09</v>
      </c>
      <c r="R72" s="11" t="s">
        <v>32</v>
      </c>
      <c r="S72" s="17"/>
    </row>
    <row r="73">
      <c r="A73" s="11" t="s">
        <v>239</v>
      </c>
      <c r="B73" s="11" t="s">
        <v>240</v>
      </c>
      <c r="C73" s="11" t="s">
        <v>241</v>
      </c>
      <c r="D73" s="12" t="s">
        <v>26</v>
      </c>
      <c r="E73" s="11">
        <v>4.0</v>
      </c>
      <c r="F73" s="11">
        <v>3.9</v>
      </c>
      <c r="G73" s="11">
        <v>3.6</v>
      </c>
      <c r="H73" s="13">
        <v>3.1</v>
      </c>
      <c r="I73" s="11">
        <v>0.0</v>
      </c>
      <c r="J73" s="11">
        <v>70.0</v>
      </c>
      <c r="K73" s="14">
        <v>85.0</v>
      </c>
      <c r="L73" s="15">
        <f>IFERROR(__xludf.DUMMYFUNCTION("IF($D73=""Euro"",'Data in Local Currency'!E73,
IF($D73=""Dolar"",'Data in Local Currency'!E73*GOOGLEFINANCE(""Currency:USDEUR""),
IF($D73=""Franco Suíço"",'Data in Local Currency'!E73*GOOGLEFINANCE(""Currency:CHFEUR""),
IF($D73=""Libra Esterlina"", 'Data "&amp;"in Local Currency'!E73*GOOGLEFINANCE(""Currency:GBPEUR""),
IF($D73=""Iene"",'Data in Local Currency'!E73*GOOGLEFINANCE(""Currency:JPYEUR""),
IF($D73=""HKD"",'Data in Local Currency'!E73*GOOGLEFINANCE(""Currency:HKDEUR""),
IF($D73=""KRW"",'Data in Local Cu"&amp;"rrency'!E73*GOOGLEFINANCE(""Currency:KRWEUR""),"""")))))))"),29.5119)</f>
        <v>29.5119</v>
      </c>
      <c r="M73" s="20">
        <f>'Data in Local Currency'!F73</f>
        <v>2000</v>
      </c>
      <c r="N73" s="15">
        <f>IFERROR(__xludf.DUMMYFUNCTION("IF($D73=""Euro"",'Data in Local Currency'!G73,
IF($D73=""Dolar"",'Data in Local Currency'!G73*GOOGLEFINANCE(""Currency:USDEUR""),
IF($D73=""Franco Suíço"",'Data in Local Currency'!G73*GOOGLEFINANCE(""Currency:CHFEUR""),
IF($D73=""Libra Esterlina"", 'Data "&amp;"in Local Currency'!G73*GOOGLEFINANCE(""Currency:GBPEUR""),
IF($D73=""Iene"",'Data in Local Currency'!G73*GOOGLEFINANCE(""Currency:JPYEUR""),
IF($D73=""HKD"",'Data in Local Currency'!G73*GOOGLEFINANCE(""Currency:HKDEUR""),
IF($D73=""KRW"",'Data in Local Cu"&amp;"rrency'!G73*GOOGLEFINANCE(""Currency:KRWEUR""),"""")))))))"),10.155)</f>
        <v>10.155</v>
      </c>
      <c r="O73" s="15">
        <v>4.25</v>
      </c>
      <c r="P73" s="11">
        <v>39.28</v>
      </c>
      <c r="Q73" s="17">
        <v>12.39</v>
      </c>
      <c r="R73" s="11" t="s">
        <v>27</v>
      </c>
      <c r="S73" s="17">
        <v>6.0</v>
      </c>
    </row>
    <row r="74">
      <c r="A74" s="11" t="s">
        <v>242</v>
      </c>
      <c r="B74" s="11" t="s">
        <v>243</v>
      </c>
      <c r="C74" s="11" t="s">
        <v>244</v>
      </c>
      <c r="D74" s="12" t="s">
        <v>26</v>
      </c>
      <c r="E74" s="11">
        <v>3.5</v>
      </c>
      <c r="F74" s="11">
        <v>3.4</v>
      </c>
      <c r="G74" s="11">
        <v>3.0</v>
      </c>
      <c r="H74" s="13" t="s">
        <v>42</v>
      </c>
      <c r="I74" s="11" t="s">
        <v>42</v>
      </c>
      <c r="J74" s="11" t="s">
        <v>42</v>
      </c>
      <c r="K74" s="14" t="s">
        <v>42</v>
      </c>
      <c r="L74" s="15">
        <f>IFERROR(__xludf.DUMMYFUNCTION("IF($D74=""Euro"",'Data in Local Currency'!E74,
IF($D74=""Dolar"",'Data in Local Currency'!E74*GOOGLEFINANCE(""Currency:USDEUR""),
IF($D74=""Franco Suíço"",'Data in Local Currency'!E74*GOOGLEFINANCE(""Currency:CHFEUR""),
IF($D74=""Libra Esterlina"", 'Data "&amp;"in Local Currency'!E74*GOOGLEFINANCE(""Currency:GBPEUR""),
IF($D74=""Iene"",'Data in Local Currency'!E74*GOOGLEFINANCE(""Currency:JPYEUR""),
IF($D74=""HKD"",'Data in Local Currency'!E74*GOOGLEFINANCE(""Currency:HKDEUR""),
IF($D74=""KRW"",'Data in Local Cu"&amp;"rrency'!E74*GOOGLEFINANCE(""Currency:KRWEUR""),"""")))))))"),10.45)</f>
        <v>10.45</v>
      </c>
      <c r="M74" s="20">
        <f>'Data in Local Currency'!F74</f>
        <v>1998</v>
      </c>
      <c r="N74" s="15">
        <f>IFERROR(__xludf.DUMMYFUNCTION("IF($D74=""Euro"",'Data in Local Currency'!G74,
IF($D74=""Dolar"",'Data in Local Currency'!G74*GOOGLEFINANCE(""Currency:USDEUR""),
IF($D74=""Franco Suíço"",'Data in Local Currency'!G74*GOOGLEFINANCE(""Currency:CHFEUR""),
IF($D74=""Libra Esterlina"", 'Data "&amp;"in Local Currency'!G74*GOOGLEFINANCE(""Currency:GBPEUR""),
IF($D74=""Iene"",'Data in Local Currency'!G74*GOOGLEFINANCE(""Currency:JPYEUR""),
IF($D74=""HKD"",'Data in Local Currency'!G74*GOOGLEFINANCE(""Currency:HKDEUR""),
IF($D74=""KRW"",'Data in Local Cu"&amp;"rrency'!G74*GOOGLEFINANCE(""Currency:KRWEUR""),"""")))))))"),20.12)</f>
        <v>20.12</v>
      </c>
      <c r="O74" s="15">
        <v>10.05</v>
      </c>
      <c r="P74" s="11">
        <v>1.46</v>
      </c>
      <c r="Q74" s="17">
        <v>0.16</v>
      </c>
      <c r="R74" s="11" t="s">
        <v>27</v>
      </c>
      <c r="S74" s="17">
        <v>1.0</v>
      </c>
    </row>
    <row r="75">
      <c r="A75" s="11" t="s">
        <v>245</v>
      </c>
      <c r="B75" s="11" t="s">
        <v>246</v>
      </c>
      <c r="C75" s="11" t="s">
        <v>247</v>
      </c>
      <c r="D75" s="12" t="s">
        <v>26</v>
      </c>
      <c r="E75" s="11">
        <v>3.5</v>
      </c>
      <c r="F75" s="11">
        <v>2.8</v>
      </c>
      <c r="G75" s="11">
        <v>3.1</v>
      </c>
      <c r="H75" s="13" t="s">
        <v>42</v>
      </c>
      <c r="I75" s="11" t="s">
        <v>42</v>
      </c>
      <c r="J75" s="11" t="s">
        <v>42</v>
      </c>
      <c r="K75" s="14" t="s">
        <v>42</v>
      </c>
      <c r="L75" s="15">
        <f>IFERROR(__xludf.DUMMYFUNCTION("IF($D75=""Euro"",'Data in Local Currency'!E75,
IF($D75=""Dolar"",'Data in Local Currency'!E75*GOOGLEFINANCE(""Currency:USDEUR""),
IF($D75=""Franco Suíço"",'Data in Local Currency'!E75*GOOGLEFINANCE(""Currency:CHFEUR""),
IF($D75=""Libra Esterlina"", 'Data "&amp;"in Local Currency'!E75*GOOGLEFINANCE(""Currency:GBPEUR""),
IF($D75=""Iene"",'Data in Local Currency'!E75*GOOGLEFINANCE(""Currency:JPYEUR""),
IF($D75=""HKD"",'Data in Local Currency'!E75*GOOGLEFINANCE(""Currency:HKDEUR""),
IF($D75=""KRW"",'Data in Local Cu"&amp;"rrency'!E75*GOOGLEFINANCE(""Currency:KRWEUR""),"""")))))))"),37.9)</f>
        <v>37.9</v>
      </c>
      <c r="M75" s="20">
        <f>'Data in Local Currency'!F75</f>
        <v>2013</v>
      </c>
      <c r="N75" s="15">
        <f>IFERROR(__xludf.DUMMYFUNCTION("IF($D75=""Euro"",'Data in Local Currency'!G75,
IF($D75=""Dolar"",'Data in Local Currency'!G75*GOOGLEFINANCE(""Currency:USDEUR""),
IF($D75=""Franco Suíço"",'Data in Local Currency'!G75*GOOGLEFINANCE(""Currency:CHFEUR""),
IF($D75=""Libra Esterlina"", 'Data "&amp;"in Local Currency'!G75*GOOGLEFINANCE(""Currency:GBPEUR""),
IF($D75=""Iene"",'Data in Local Currency'!G75*GOOGLEFINANCE(""Currency:JPYEUR""),
IF($D75=""HKD"",'Data in Local Currency'!G75*GOOGLEFINANCE(""Currency:HKDEUR""),
IF($D75=""KRW"",'Data in Local Cu"&amp;"rrency'!G75*GOOGLEFINANCE(""Currency:KRWEUR""),"""")))))))"),18.02)</f>
        <v>18.02</v>
      </c>
      <c r="O75" s="15">
        <v>31.12</v>
      </c>
      <c r="P75" s="11">
        <v>5.75</v>
      </c>
      <c r="Q75" s="17">
        <v>2.3</v>
      </c>
      <c r="R75" s="11" t="s">
        <v>32</v>
      </c>
      <c r="S75" s="17"/>
    </row>
    <row r="76">
      <c r="A76" s="11" t="s">
        <v>248</v>
      </c>
      <c r="B76" s="11" t="s">
        <v>249</v>
      </c>
      <c r="C76" s="11" t="s">
        <v>250</v>
      </c>
      <c r="D76" s="12" t="s">
        <v>126</v>
      </c>
      <c r="E76" s="11">
        <v>5.0</v>
      </c>
      <c r="F76" s="11">
        <v>4.0</v>
      </c>
      <c r="G76" s="11">
        <v>4.0</v>
      </c>
      <c r="H76" s="13" t="s">
        <v>42</v>
      </c>
      <c r="I76" s="11" t="s">
        <v>42</v>
      </c>
      <c r="J76" s="11" t="s">
        <v>42</v>
      </c>
      <c r="K76" s="14" t="s">
        <v>42</v>
      </c>
      <c r="L76" s="15">
        <f>IFERROR(__xludf.DUMMYFUNCTION("IF($D76=""Euro"",'Data in Local Currency'!E76,
IF($D76=""Dolar"",'Data in Local Currency'!E76*GOOGLEFINANCE(""Currency:USDEUR""),
IF($D76=""Franco Suíço"",'Data in Local Currency'!E76*GOOGLEFINANCE(""Currency:CHFEUR""),
IF($D76=""Libra Esterlina"", 'Data "&amp;"in Local Currency'!E76*GOOGLEFINANCE(""Currency:GBPEUR""),
IF($D76=""Iene"",'Data in Local Currency'!E76*GOOGLEFINANCE(""Currency:JPYEUR""),
IF($D76=""HKD"",'Data in Local Currency'!E76*GOOGLEFINANCE(""Currency:HKDEUR""),
IF($D76=""KRW"",'Data in Local Cu"&amp;"rrency'!E76*GOOGLEFINANCE(""Currency:KRWEUR""),"""")))))))"),24.336563520000002)</f>
        <v>24.33656352</v>
      </c>
      <c r="M76" s="20">
        <f>'Data in Local Currency'!F76</f>
        <v>2000</v>
      </c>
      <c r="N76" s="15">
        <f>IFERROR(__xludf.DUMMYFUNCTION("IF($D76=""Euro"",'Data in Local Currency'!G76,
IF($D76=""Dolar"",'Data in Local Currency'!G76*GOOGLEFINANCE(""Currency:USDEUR""),
IF($D76=""Franco Suíço"",'Data in Local Currency'!G76*GOOGLEFINANCE(""Currency:CHFEUR""),
IF($D76=""Libra Esterlina"", 'Data "&amp;"in Local Currency'!G76*GOOGLEFINANCE(""Currency:GBPEUR""),
IF($D76=""Iene"",'Data in Local Currency'!G76*GOOGLEFINANCE(""Currency:JPYEUR""),
IF($D76=""HKD"",'Data in Local Currency'!G76*GOOGLEFINANCE(""Currency:HKDEUR""),
IF($D76=""KRW"",'Data in Local Cu"&amp;"rrency'!G76*GOOGLEFINANCE(""Currency:KRWEUR""),"""")))))))"),55.232127696)</f>
        <v>55.2321277</v>
      </c>
      <c r="O76" s="15">
        <v>37.59</v>
      </c>
      <c r="P76" s="11">
        <v>6.62</v>
      </c>
      <c r="Q76" s="17">
        <v>0.52</v>
      </c>
      <c r="R76" s="11" t="s">
        <v>32</v>
      </c>
      <c r="S76" s="17"/>
    </row>
    <row r="77">
      <c r="A77" s="11" t="s">
        <v>251</v>
      </c>
      <c r="B77" s="11" t="s">
        <v>252</v>
      </c>
      <c r="C77" s="11" t="s">
        <v>253</v>
      </c>
      <c r="D77" s="12" t="s">
        <v>31</v>
      </c>
      <c r="E77" s="11">
        <v>3.3</v>
      </c>
      <c r="F77" s="11">
        <v>3.3</v>
      </c>
      <c r="G77" s="11">
        <v>2.7</v>
      </c>
      <c r="H77" s="13" t="s">
        <v>42</v>
      </c>
      <c r="I77" s="11" t="s">
        <v>42</v>
      </c>
      <c r="J77" s="11" t="s">
        <v>42</v>
      </c>
      <c r="K77" s="14" t="s">
        <v>42</v>
      </c>
      <c r="L77" s="15">
        <f>IFERROR(__xludf.DUMMYFUNCTION("IF($D77=""Euro"",'Data in Local Currency'!E77,
IF($D77=""Dolar"",'Data in Local Currency'!E77*GOOGLEFINANCE(""Currency:USDEUR""),
IF($D77=""Franco Suíço"",'Data in Local Currency'!E77*GOOGLEFINANCE(""Currency:CHFEUR""),
IF($D77=""Libra Esterlina"", 'Data "&amp;"in Local Currency'!E77*GOOGLEFINANCE(""Currency:GBPEUR""),
IF($D77=""Iene"",'Data in Local Currency'!E77*GOOGLEFINANCE(""Currency:JPYEUR""),
IF($D77=""HKD"",'Data in Local Currency'!E77*GOOGLEFINANCE(""Currency:HKDEUR""),
IF($D77=""KRW"",'Data in Local Cu"&amp;"rrency'!E77*GOOGLEFINANCE(""Currency:KRWEUR""),"""")))))))"),9.28998)</f>
        <v>9.28998</v>
      </c>
      <c r="M77" s="20">
        <f>'Data in Local Currency'!F77</f>
        <v>2013</v>
      </c>
      <c r="N77" s="15">
        <f>IFERROR(__xludf.DUMMYFUNCTION("IF($D77=""Euro"",'Data in Local Currency'!G77,
IF($D77=""Dolar"",'Data in Local Currency'!G77*GOOGLEFINANCE(""Currency:USDEUR""),
IF($D77=""Franco Suíço"",'Data in Local Currency'!G77*GOOGLEFINANCE(""Currency:CHFEUR""),
IF($D77=""Libra Esterlina"", 'Data "&amp;"in Local Currency'!G77*GOOGLEFINANCE(""Currency:GBPEUR""),
IF($D77=""Iene"",'Data in Local Currency'!G77*GOOGLEFINANCE(""Currency:JPYEUR""),
IF($D77=""HKD"",'Data in Local Currency'!G77*GOOGLEFINANCE(""Currency:HKDEUR""),
IF($D77=""KRW"",'Data in Local Cu"&amp;"rrency'!G77*GOOGLEFINANCE(""Currency:KRWEUR""),"""")))))))"),8.7381)</f>
        <v>8.7381</v>
      </c>
      <c r="O77" s="15">
        <v>13.01</v>
      </c>
      <c r="P77" s="11">
        <v>0.13</v>
      </c>
      <c r="Q77" s="17">
        <v>0.06</v>
      </c>
      <c r="R77" s="11" t="s">
        <v>32</v>
      </c>
      <c r="S77" s="17"/>
    </row>
    <row r="78">
      <c r="A78" s="11" t="s">
        <v>254</v>
      </c>
      <c r="B78" s="11" t="s">
        <v>255</v>
      </c>
      <c r="C78" s="11" t="s">
        <v>256</v>
      </c>
      <c r="D78" s="12" t="s">
        <v>104</v>
      </c>
      <c r="E78" s="11">
        <v>3.8</v>
      </c>
      <c r="F78" s="11">
        <v>3.8</v>
      </c>
      <c r="G78" s="11">
        <v>3.4</v>
      </c>
      <c r="H78" s="13" t="s">
        <v>42</v>
      </c>
      <c r="I78" s="11" t="s">
        <v>42</v>
      </c>
      <c r="J78" s="11" t="s">
        <v>42</v>
      </c>
      <c r="K78" s="14" t="s">
        <v>42</v>
      </c>
      <c r="L78" s="15">
        <f>IFERROR(__xludf.DUMMYFUNCTION("IF($D78=""Euro"",'Data in Local Currency'!E78,
IF($D78=""Dolar"",'Data in Local Currency'!E78*GOOGLEFINANCE(""Currency:USDEUR""),
IF($D78=""Franco Suíço"",'Data in Local Currency'!E78*GOOGLEFINANCE(""Currency:CHFEUR""),
IF($D78=""Libra Esterlina"", 'Data "&amp;"in Local Currency'!E78*GOOGLEFINANCE(""Currency:GBPEUR""),
IF($D78=""Iene"",'Data in Local Currency'!E78*GOOGLEFINANCE(""Currency:JPYEUR""),
IF($D78=""HKD"",'Data in Local Currency'!E78*GOOGLEFINANCE(""Currency:HKDEUR""),
IF($D78=""KRW"",'Data in Local Cu"&amp;"rrency'!E78*GOOGLEFINANCE(""Currency:KRWEUR""),"""")))))))"),270.7786768236)</f>
        <v>270.7786768</v>
      </c>
      <c r="M78" s="20">
        <f>'Data in Local Currency'!F78</f>
        <v>2019</v>
      </c>
      <c r="N78" s="15">
        <f>IFERROR(__xludf.DUMMYFUNCTION("IF($D78=""Euro"",'Data in Local Currency'!G78,
IF($D78=""Dolar"",'Data in Local Currency'!G78*GOOGLEFINANCE(""Currency:USDEUR""),
IF($D78=""Franco Suíço"",'Data in Local Currency'!G78*GOOGLEFINANCE(""Currency:CHFEUR""),
IF($D78=""Libra Esterlina"", 'Data "&amp;"in Local Currency'!G78*GOOGLEFINANCE(""Currency:GBPEUR""),
IF($D78=""Iene"",'Data in Local Currency'!G78*GOOGLEFINANCE(""Currency:JPYEUR""),
IF($D78=""HKD"",'Data in Local Currency'!G78*GOOGLEFINANCE(""Currency:HKDEUR""),
IF($D78=""KRW"",'Data in Local Cu"&amp;"rrency'!G78*GOOGLEFINANCE(""Currency:KRWEUR""),"""")))))))"),270.7786768236)</f>
        <v>270.7786768</v>
      </c>
      <c r="O78" s="15">
        <v>254.99</v>
      </c>
      <c r="P78" s="11">
        <v>20.75</v>
      </c>
      <c r="Q78" s="17"/>
      <c r="R78" s="11" t="s">
        <v>27</v>
      </c>
      <c r="S78" s="17">
        <v>0.0</v>
      </c>
    </row>
    <row r="79">
      <c r="A79" s="11" t="s">
        <v>257</v>
      </c>
      <c r="B79" s="11" t="s">
        <v>258</v>
      </c>
      <c r="C79" s="11" t="s">
        <v>259</v>
      </c>
      <c r="D79" s="12" t="s">
        <v>26</v>
      </c>
      <c r="E79" s="11" t="s">
        <v>42</v>
      </c>
      <c r="F79" s="11" t="s">
        <v>42</v>
      </c>
      <c r="G79" s="11" t="s">
        <v>42</v>
      </c>
      <c r="H79" s="13" t="s">
        <v>42</v>
      </c>
      <c r="I79" s="11" t="s">
        <v>42</v>
      </c>
      <c r="J79" s="11" t="s">
        <v>42</v>
      </c>
      <c r="K79" s="14" t="s">
        <v>42</v>
      </c>
      <c r="L79" s="15">
        <f>IFERROR(__xludf.DUMMYFUNCTION("IF($D79=""Euro"",'Data in Local Currency'!E79,
IF($D79=""Dolar"",'Data in Local Currency'!E79*GOOGLEFINANCE(""Currency:USDEUR""),
IF($D79=""Franco Suíço"",'Data in Local Currency'!E79*GOOGLEFINANCE(""Currency:CHFEUR""),
IF($D79=""Libra Esterlina"", 'Data "&amp;"in Local Currency'!E79*GOOGLEFINANCE(""Currency:GBPEUR""),
IF($D79=""Iene"",'Data in Local Currency'!E79*GOOGLEFINANCE(""Currency:JPYEUR""),
IF($D79=""HKD"",'Data in Local Currency'!E79*GOOGLEFINANCE(""Currency:HKDEUR""),
IF($D79=""KRW"",'Data in Local Cu"&amp;"rrency'!E79*GOOGLEFINANCE(""Currency:KRWEUR""),"""")))))))"),9.5)</f>
        <v>9.5</v>
      </c>
      <c r="M79" s="20">
        <f>'Data in Local Currency'!F79</f>
        <v>2011</v>
      </c>
      <c r="N79" s="15">
        <f>IFERROR(__xludf.DUMMYFUNCTION("IF($D79=""Euro"",'Data in Local Currency'!G79,
IF($D79=""Dolar"",'Data in Local Currency'!G79*GOOGLEFINANCE(""Currency:USDEUR""),
IF($D79=""Franco Suíço"",'Data in Local Currency'!G79*GOOGLEFINANCE(""Currency:CHFEUR""),
IF($D79=""Libra Esterlina"", 'Data "&amp;"in Local Currency'!G79*GOOGLEFINANCE(""Currency:GBPEUR""),
IF($D79=""Iene"",'Data in Local Currency'!G79*GOOGLEFINANCE(""Currency:JPYEUR""),
IF($D79=""HKD"",'Data in Local Currency'!G79*GOOGLEFINANCE(""Currency:HKDEUR""),
IF($D79=""KRW"",'Data in Local Cu"&amp;"rrency'!G79*GOOGLEFINANCE(""Currency:KRWEUR""),"""")))))))"),11.7)</f>
        <v>11.7</v>
      </c>
      <c r="O79" s="15">
        <v>4.98</v>
      </c>
      <c r="P79" s="11">
        <v>0.34</v>
      </c>
      <c r="Q79" s="17">
        <v>0.05</v>
      </c>
      <c r="R79" s="11" t="s">
        <v>32</v>
      </c>
      <c r="S79" s="17"/>
    </row>
    <row r="80">
      <c r="A80" s="11" t="s">
        <v>260</v>
      </c>
      <c r="B80" s="11" t="s">
        <v>261</v>
      </c>
      <c r="C80" s="11" t="s">
        <v>262</v>
      </c>
      <c r="D80" s="12" t="s">
        <v>26</v>
      </c>
      <c r="E80" s="11">
        <v>3.5</v>
      </c>
      <c r="F80" s="11">
        <v>3.1</v>
      </c>
      <c r="G80" s="11">
        <v>2.7</v>
      </c>
      <c r="H80" s="13" t="s">
        <v>42</v>
      </c>
      <c r="I80" s="11" t="s">
        <v>42</v>
      </c>
      <c r="J80" s="11" t="s">
        <v>42</v>
      </c>
      <c r="K80" s="14" t="s">
        <v>42</v>
      </c>
      <c r="L80" s="15">
        <f>IFERROR(__xludf.DUMMYFUNCTION("IF($D80=""Euro"",'Data in Local Currency'!E80,
IF($D80=""Dolar"",'Data in Local Currency'!E80*GOOGLEFINANCE(""Currency:USDEUR""),
IF($D80=""Franco Suíço"",'Data in Local Currency'!E80*GOOGLEFINANCE(""Currency:CHFEUR""),
IF($D80=""Libra Esterlina"", 'Data "&amp;"in Local Currency'!E80*GOOGLEFINANCE(""Currency:GBPEUR""),
IF($D80=""Iene"",'Data in Local Currency'!E80*GOOGLEFINANCE(""Currency:JPYEUR""),
IF($D80=""HKD"",'Data in Local Currency'!E80*GOOGLEFINANCE(""Currency:HKDEUR""),
IF($D80=""KRW"",'Data in Local Cu"&amp;"rrency'!E80*GOOGLEFINANCE(""Currency:KRWEUR""),"""")))))))"),17.03)</f>
        <v>17.03</v>
      </c>
      <c r="M80" s="20">
        <f>'Data in Local Currency'!F80</f>
        <v>1999</v>
      </c>
      <c r="N80" s="15">
        <f>IFERROR(__xludf.DUMMYFUNCTION("IF($D80=""Euro"",'Data in Local Currency'!G80,
IF($D80=""Dolar"",'Data in Local Currency'!G80*GOOGLEFINANCE(""Currency:USDEUR""),
IF($D80=""Franco Suíço"",'Data in Local Currency'!G80*GOOGLEFINANCE(""Currency:CHFEUR""),
IF($D80=""Libra Esterlina"", 'Data "&amp;"in Local Currency'!G80*GOOGLEFINANCE(""Currency:GBPEUR""),
IF($D80=""Iene"",'Data in Local Currency'!G80*GOOGLEFINANCE(""Currency:JPYEUR""),
IF($D80=""HKD"",'Data in Local Currency'!G80*GOOGLEFINANCE(""Currency:HKDEUR""),
IF($D80=""KRW"",'Data in Local Cu"&amp;"rrency'!G80*GOOGLEFINANCE(""Currency:KRWEUR""),"""")))))))"),63.55)</f>
        <v>63.55</v>
      </c>
      <c r="O80" s="15">
        <v>23.4</v>
      </c>
      <c r="P80" s="11"/>
      <c r="Q80" s="17"/>
      <c r="R80" s="11" t="s">
        <v>27</v>
      </c>
      <c r="S80" s="17">
        <v>0.0</v>
      </c>
    </row>
    <row r="81">
      <c r="A81" s="11" t="s">
        <v>263</v>
      </c>
      <c r="B81" s="11" t="s">
        <v>264</v>
      </c>
      <c r="C81" s="11" t="s">
        <v>265</v>
      </c>
      <c r="D81" s="12" t="s">
        <v>104</v>
      </c>
      <c r="E81" s="11">
        <v>3.8</v>
      </c>
      <c r="F81" s="11">
        <v>3.6</v>
      </c>
      <c r="G81" s="11">
        <v>3.5</v>
      </c>
      <c r="H81" s="13">
        <v>2.2</v>
      </c>
      <c r="I81" s="11">
        <v>100.0</v>
      </c>
      <c r="J81" s="11">
        <v>27.0</v>
      </c>
      <c r="K81" s="14">
        <v>48.0</v>
      </c>
      <c r="L81" s="15">
        <f>IFERROR(__xludf.DUMMYFUNCTION("IF($D81=""Euro"",'Data in Local Currency'!E81,
IF($D81=""Dolar"",'Data in Local Currency'!E81*GOOGLEFINANCE(""Currency:USDEUR""),
IF($D81=""Franco Suíço"",'Data in Local Currency'!E81*GOOGLEFINANCE(""Currency:CHFEUR""),
IF($D81=""Libra Esterlina"", 'Data "&amp;"in Local Currency'!E81*GOOGLEFINANCE(""Currency:GBPEUR""),
IF($D81=""Iene"",'Data in Local Currency'!E81*GOOGLEFINANCE(""Currency:JPYEUR""),
IF($D81=""HKD"",'Data in Local Currency'!E81*GOOGLEFINANCE(""Currency:HKDEUR""),
IF($D81=""KRW"",'Data in Local Cu"&amp;"rrency'!E81*GOOGLEFINANCE(""Currency:KRWEUR""),"""")))))))"),1577.538294816)</f>
        <v>1577.538295</v>
      </c>
      <c r="M81" s="20">
        <f>'Data in Local Currency'!F81</f>
        <v>2015</v>
      </c>
      <c r="N81" s="15">
        <f>IFERROR(__xludf.DUMMYFUNCTION("IF($D81=""Euro"",'Data in Local Currency'!G81,
IF($D81=""Dolar"",'Data in Local Currency'!G81*GOOGLEFINANCE(""Currency:USDEUR""),
IF($D81=""Franco Suíço"",'Data in Local Currency'!G81*GOOGLEFINANCE(""Currency:CHFEUR""),
IF($D81=""Libra Esterlina"", 'Data "&amp;"in Local Currency'!G81*GOOGLEFINANCE(""Currency:GBPEUR""),
IF($D81=""Iene"",'Data in Local Currency'!G81*GOOGLEFINANCE(""Currency:JPYEUR""),
IF($D81=""HKD"",'Data in Local Currency'!G81*GOOGLEFINANCE(""Currency:HKDEUR""),
IF($D81=""KRW"",'Data in Local Cu"&amp;"rrency'!G81*GOOGLEFINANCE(""Currency:KRWEUR""),"""")))))))"),2122.221867645)</f>
        <v>2122.221868</v>
      </c>
      <c r="O81" s="15">
        <v>3110.62</v>
      </c>
      <c r="P81" s="11">
        <v>0.74</v>
      </c>
      <c r="Q81" s="17">
        <v>0.18</v>
      </c>
      <c r="R81" s="11" t="s">
        <v>32</v>
      </c>
      <c r="S81" s="17"/>
    </row>
    <row r="82">
      <c r="A82" s="11" t="s">
        <v>266</v>
      </c>
      <c r="B82" s="11" t="s">
        <v>267</v>
      </c>
      <c r="C82" s="11" t="s">
        <v>268</v>
      </c>
      <c r="D82" s="12" t="s">
        <v>26</v>
      </c>
      <c r="E82" s="11">
        <v>4.4</v>
      </c>
      <c r="F82" s="11">
        <v>4.6</v>
      </c>
      <c r="G82" s="11">
        <v>4.6</v>
      </c>
      <c r="H82" s="13" t="s">
        <v>42</v>
      </c>
      <c r="I82" s="11" t="s">
        <v>42</v>
      </c>
      <c r="J82" s="11" t="s">
        <v>42</v>
      </c>
      <c r="K82" s="14" t="s">
        <v>42</v>
      </c>
      <c r="L82" s="15">
        <f>IFERROR(__xludf.DUMMYFUNCTION("IF($D82=""Euro"",'Data in Local Currency'!E82,
IF($D82=""Dolar"",'Data in Local Currency'!E82*GOOGLEFINANCE(""Currency:USDEUR""),
IF($D82=""Franco Suíço"",'Data in Local Currency'!E82*GOOGLEFINANCE(""Currency:CHFEUR""),
IF($D82=""Libra Esterlina"", 'Data "&amp;"in Local Currency'!E82*GOOGLEFINANCE(""Currency:GBPEUR""),
IF($D82=""Iene"",'Data in Local Currency'!E82*GOOGLEFINANCE(""Currency:JPYEUR""),
IF($D82=""HKD"",'Data in Local Currency'!E82*GOOGLEFINANCE(""Currency:HKDEUR""),
IF($D82=""KRW"",'Data in Local Cu"&amp;"rrency'!E82*GOOGLEFINANCE(""Currency:KRWEUR""),"""")))))))"),12.6)</f>
        <v>12.6</v>
      </c>
      <c r="M82" s="20">
        <f>'Data in Local Currency'!F82</f>
        <v>2003</v>
      </c>
      <c r="N82" s="15">
        <f>IFERROR(__xludf.DUMMYFUNCTION("IF($D82=""Euro"",'Data in Local Currency'!G82,
IF($D82=""Dolar"",'Data in Local Currency'!G82*GOOGLEFINANCE(""Currency:USDEUR""),
IF($D82=""Franco Suíço"",'Data in Local Currency'!G82*GOOGLEFINANCE(""Currency:CHFEUR""),
IF($D82=""Libra Esterlina"", 'Data "&amp;"in Local Currency'!G82*GOOGLEFINANCE(""Currency:GBPEUR""),
IF($D82=""Iene"",'Data in Local Currency'!G82*GOOGLEFINANCE(""Currency:JPYEUR""),
IF($D82=""HKD"",'Data in Local Currency'!G82*GOOGLEFINANCE(""Currency:HKDEUR""),
IF($D82=""KRW"",'Data in Local Cu"&amp;"rrency'!G82*GOOGLEFINANCE(""Currency:KRWEUR""),"""")))))))"),23.28)</f>
        <v>23.28</v>
      </c>
      <c r="O82" s="15">
        <v>18.08</v>
      </c>
      <c r="P82" s="11">
        <v>6.39</v>
      </c>
      <c r="Q82" s="17">
        <v>4.03</v>
      </c>
      <c r="R82" s="11" t="s">
        <v>27</v>
      </c>
      <c r="S82" s="17">
        <v>2.0</v>
      </c>
    </row>
    <row r="83">
      <c r="A83" s="11" t="s">
        <v>269</v>
      </c>
      <c r="B83" s="11" t="s">
        <v>270</v>
      </c>
      <c r="C83" s="11" t="s">
        <v>271</v>
      </c>
      <c r="D83" s="12" t="s">
        <v>26</v>
      </c>
      <c r="E83" s="11">
        <v>3.7</v>
      </c>
      <c r="F83" s="11">
        <v>3.7</v>
      </c>
      <c r="G83" s="11">
        <v>3.3</v>
      </c>
      <c r="H83" s="13" t="s">
        <v>42</v>
      </c>
      <c r="I83" s="11" t="s">
        <v>42</v>
      </c>
      <c r="J83" s="11" t="s">
        <v>42</v>
      </c>
      <c r="K83" s="14" t="s">
        <v>42</v>
      </c>
      <c r="L83" s="15">
        <f>IFERROR(__xludf.DUMMYFUNCTION("IF($D83=""Euro"",'Data in Local Currency'!E83,
IF($D83=""Dolar"",'Data in Local Currency'!E83*GOOGLEFINANCE(""Currency:USDEUR""),
IF($D83=""Franco Suíço"",'Data in Local Currency'!E83*GOOGLEFINANCE(""Currency:CHFEUR""),
IF($D83=""Libra Esterlina"", 'Data "&amp;"in Local Currency'!E83*GOOGLEFINANCE(""Currency:GBPEUR""),
IF($D83=""Iene"",'Data in Local Currency'!E83*GOOGLEFINANCE(""Currency:JPYEUR""),
IF($D83=""HKD"",'Data in Local Currency'!E83*GOOGLEFINANCE(""Currency:HKDEUR""),
IF($D83=""KRW"",'Data in Local Cu"&amp;"rrency'!E83*GOOGLEFINANCE(""Currency:KRWEUR""),"""")))))))"),5.105)</f>
        <v>5.105</v>
      </c>
      <c r="M83" s="20">
        <f>'Data in Local Currency'!F83</f>
        <v>1995</v>
      </c>
      <c r="N83" s="15">
        <f>IFERROR(__xludf.DUMMYFUNCTION("IF($D83=""Euro"",'Data in Local Currency'!G83,
IF($D83=""Dolar"",'Data in Local Currency'!G83*GOOGLEFINANCE(""Currency:USDEUR""),
IF($D83=""Franco Suíço"",'Data in Local Currency'!G83*GOOGLEFINANCE(""Currency:CHFEUR""),
IF($D83=""Libra Esterlina"", 'Data "&amp;"in Local Currency'!G83*GOOGLEFINANCE(""Currency:GBPEUR""),
IF($D83=""Iene"",'Data in Local Currency'!G83*GOOGLEFINANCE(""Currency:JPYEUR""),
IF($D83=""HKD"",'Data in Local Currency'!G83*GOOGLEFINANCE(""Currency:HKDEUR""),
IF($D83=""KRW"",'Data in Local Cu"&amp;"rrency'!G83*GOOGLEFINANCE(""Currency:KRWEUR""),"""")))))))"),4.679)</f>
        <v>4.679</v>
      </c>
      <c r="O83" s="15">
        <v>4.54</v>
      </c>
      <c r="P83" s="11">
        <v>52.98</v>
      </c>
      <c r="Q83" s="17"/>
      <c r="R83" s="11" t="s">
        <v>27</v>
      </c>
      <c r="S83" s="17">
        <v>0.0</v>
      </c>
    </row>
    <row r="84">
      <c r="A84" s="11" t="s">
        <v>272</v>
      </c>
      <c r="B84" s="11" t="s">
        <v>273</v>
      </c>
      <c r="C84" s="11" t="s">
        <v>274</v>
      </c>
      <c r="D84" s="12" t="s">
        <v>26</v>
      </c>
      <c r="E84" s="11">
        <v>3.9</v>
      </c>
      <c r="F84" s="11">
        <v>3.9</v>
      </c>
      <c r="G84" s="11">
        <v>3.5</v>
      </c>
      <c r="H84" s="13">
        <v>4.2</v>
      </c>
      <c r="I84" s="11">
        <v>32.0</v>
      </c>
      <c r="J84" s="11">
        <v>64.0</v>
      </c>
      <c r="K84" s="14">
        <v>69.0</v>
      </c>
      <c r="L84" s="15">
        <f>IFERROR(__xludf.DUMMYFUNCTION("IF($D84=""Euro"",'Data in Local Currency'!E84,
IF($D84=""Dolar"",'Data in Local Currency'!E84*GOOGLEFINANCE(""Currency:USDEUR""),
IF($D84=""Franco Suíço"",'Data in Local Currency'!E84*GOOGLEFINANCE(""Currency:CHFEUR""),
IF($D84=""Libra Esterlina"", 'Data "&amp;"in Local Currency'!E84*GOOGLEFINANCE(""Currency:GBPEUR""),
IF($D84=""Iene"",'Data in Local Currency'!E84*GOOGLEFINANCE(""Currency:JPYEUR""),
IF($D84=""HKD"",'Data in Local Currency'!E84*GOOGLEFINANCE(""Currency:HKDEUR""),
IF($D84=""KRW"",'Data in Local Cu"&amp;"rrency'!E84*GOOGLEFINANCE(""Currency:KRWEUR""),"""")))))))"),26.64)</f>
        <v>26.64</v>
      </c>
      <c r="M84" s="20">
        <f>'Data in Local Currency'!F84</f>
        <v>2000</v>
      </c>
      <c r="N84" s="15">
        <f>IFERROR(__xludf.DUMMYFUNCTION("IF($D84=""Euro"",'Data in Local Currency'!G84,
IF($D84=""Dolar"",'Data in Local Currency'!G84*GOOGLEFINANCE(""Currency:USDEUR""),
IF($D84=""Franco Suíço"",'Data in Local Currency'!G84*GOOGLEFINANCE(""Currency:CHFEUR""),
IF($D84=""Libra Esterlina"", 'Data "&amp;"in Local Currency'!G84*GOOGLEFINANCE(""Currency:GBPEUR""),
IF($D84=""Iene"",'Data in Local Currency'!G84*GOOGLEFINANCE(""Currency:JPYEUR""),
IF($D84=""HKD"",'Data in Local Currency'!G84*GOOGLEFINANCE(""Currency:HKDEUR""),
IF($D84=""KRW"",'Data in Local Cu"&amp;"rrency'!G84*GOOGLEFINANCE(""Currency:KRWEUR""),"""")))))))"),41.85)</f>
        <v>41.85</v>
      </c>
      <c r="O84" s="15">
        <v>29.02</v>
      </c>
      <c r="P84" s="11">
        <v>2.2</v>
      </c>
      <c r="Q84" s="17"/>
      <c r="R84" s="11" t="s">
        <v>32</v>
      </c>
      <c r="S84" s="17"/>
    </row>
    <row r="85">
      <c r="A85" s="11" t="s">
        <v>275</v>
      </c>
      <c r="B85" s="11" t="s">
        <v>276</v>
      </c>
      <c r="C85" s="11" t="s">
        <v>277</v>
      </c>
      <c r="D85" s="12" t="s">
        <v>31</v>
      </c>
      <c r="E85" s="11">
        <v>3.9</v>
      </c>
      <c r="F85" s="11">
        <v>3.9</v>
      </c>
      <c r="G85" s="11">
        <v>3.5</v>
      </c>
      <c r="H85" s="13">
        <v>2.6</v>
      </c>
      <c r="I85" s="11">
        <v>13.0</v>
      </c>
      <c r="J85" s="11">
        <v>65.0</v>
      </c>
      <c r="K85" s="14">
        <v>49.0</v>
      </c>
      <c r="L85" s="15">
        <f>IFERROR(__xludf.DUMMYFUNCTION("IF($D85=""Euro"",'Data in Local Currency'!E85,
IF($D85=""Dolar"",'Data in Local Currency'!E85*GOOGLEFINANCE(""Currency:USDEUR""),
IF($D85=""Franco Suíço"",'Data in Local Currency'!E85*GOOGLEFINANCE(""Currency:CHFEUR""),
IF($D85=""Libra Esterlina"", 'Data "&amp;"in Local Currency'!E85*GOOGLEFINANCE(""Currency:GBPEUR""),
IF($D85=""Iene"",'Data in Local Currency'!E85*GOOGLEFINANCE(""Currency:JPYEUR""),
IF($D85=""HKD"",'Data in Local Currency'!E85*GOOGLEFINANCE(""Currency:HKDEUR""),
IF($D85=""KRW"",'Data in Local Cu"&amp;"rrency'!E85*GOOGLEFINANCE(""Currency:KRWEUR""),"""")))))))"),3.6792)</f>
        <v>3.6792</v>
      </c>
      <c r="M85" s="20">
        <f>'Data in Local Currency'!F85</f>
        <v>1987</v>
      </c>
      <c r="N85" s="15">
        <f>IFERROR(__xludf.DUMMYFUNCTION("IF($D85=""Euro"",'Data in Local Currency'!G85,
IF($D85=""Dolar"",'Data in Local Currency'!G85*GOOGLEFINANCE(""Currency:USDEUR""),
IF($D85=""Franco Suíço"",'Data in Local Currency'!G85*GOOGLEFINANCE(""Currency:CHFEUR""),
IF($D85=""Libra Esterlina"", 'Data "&amp;"in Local Currency'!G85*GOOGLEFINANCE(""Currency:GBPEUR""),
IF($D85=""Iene"",'Data in Local Currency'!G85*GOOGLEFINANCE(""Currency:JPYEUR""),
IF($D85=""HKD"",'Data in Local Currency'!G85*GOOGLEFINANCE(""Currency:HKDEUR""),
IF($D85=""KRW"",'Data in Local Cu"&amp;"rrency'!G85*GOOGLEFINANCE(""Currency:KRWEUR""),"""")))))))"),56.816046)</f>
        <v>56.816046</v>
      </c>
      <c r="O85" s="15">
        <v>17.08</v>
      </c>
      <c r="P85" s="11">
        <v>1.74</v>
      </c>
      <c r="Q85" s="17">
        <v>3.54</v>
      </c>
      <c r="R85" s="11" t="s">
        <v>32</v>
      </c>
      <c r="S85" s="17"/>
    </row>
    <row r="86">
      <c r="A86" s="11" t="s">
        <v>278</v>
      </c>
      <c r="B86" s="11" t="s">
        <v>279</v>
      </c>
      <c r="C86" s="11" t="s">
        <v>280</v>
      </c>
      <c r="D86" s="12" t="s">
        <v>31</v>
      </c>
      <c r="E86" s="11">
        <v>4.4</v>
      </c>
      <c r="F86" s="11">
        <v>4.3</v>
      </c>
      <c r="G86" s="11">
        <v>4.2</v>
      </c>
      <c r="H86" s="13">
        <v>3.4</v>
      </c>
      <c r="I86" s="11">
        <v>0.0</v>
      </c>
      <c r="J86" s="11">
        <v>85.0</v>
      </c>
      <c r="K86" s="14">
        <v>69.0</v>
      </c>
      <c r="L86" s="15">
        <f>IFERROR(__xludf.DUMMYFUNCTION("IF($D86=""Euro"",'Data in Local Currency'!E86,
IF($D86=""Dolar"",'Data in Local Currency'!E86*GOOGLEFINANCE(""Currency:USDEUR""),
IF($D86=""Franco Suíço"",'Data in Local Currency'!E86*GOOGLEFINANCE(""Currency:CHFEUR""),
IF($D86=""Libra Esterlina"", 'Data "&amp;"in Local Currency'!E86*GOOGLEFINANCE(""Currency:GBPEUR""),
IF($D86=""Iene"",'Data in Local Currency'!E86*GOOGLEFINANCE(""Currency:JPYEUR""),
IF($D86=""HKD"",'Data in Local Currency'!E86*GOOGLEFINANCE(""Currency:HKDEUR""),
IF($D86=""KRW"",'Data in Local Cu"&amp;"rrency'!E86*GOOGLEFINANCE(""Currency:KRWEUR""),"""")))))))"),39.91932)</f>
        <v>39.91932</v>
      </c>
      <c r="M86" s="20">
        <f>'Data in Local Currency'!F86</f>
        <v>2005</v>
      </c>
      <c r="N86" s="15">
        <f>IFERROR(__xludf.DUMMYFUNCTION("IF($D86=""Euro"",'Data in Local Currency'!G86,
IF($D86=""Dolar"",'Data in Local Currency'!G86*GOOGLEFINANCE(""Currency:USDEUR""),
IF($D86=""Franco Suíço"",'Data in Local Currency'!G86*GOOGLEFINANCE(""Currency:CHFEUR""),
IF($D86=""Libra Esterlina"", 'Data "&amp;"in Local Currency'!G86*GOOGLEFINANCE(""Currency:GBPEUR""),
IF($D86=""Iene"",'Data in Local Currency'!G86*GOOGLEFINANCE(""Currency:JPYEUR""),
IF($D86=""HKD"",'Data in Local Currency'!G86*GOOGLEFINANCE(""Currency:HKDEUR""),
IF($D86=""KRW"",'Data in Local Cu"&amp;"rrency'!G86*GOOGLEFINANCE(""Currency:KRWEUR""),"""")))))))"),54.259002)</f>
        <v>54.259002</v>
      </c>
      <c r="O86" s="15">
        <v>35.2</v>
      </c>
      <c r="P86" s="11">
        <v>3.85</v>
      </c>
      <c r="Q86" s="17">
        <v>0.36</v>
      </c>
      <c r="R86" s="11" t="s">
        <v>32</v>
      </c>
      <c r="S86" s="17"/>
    </row>
    <row r="87">
      <c r="A87" s="11" t="s">
        <v>281</v>
      </c>
      <c r="B87" s="11" t="s">
        <v>282</v>
      </c>
      <c r="C87" s="11" t="s">
        <v>283</v>
      </c>
      <c r="D87" s="12" t="s">
        <v>26</v>
      </c>
      <c r="E87" s="11">
        <v>3.5</v>
      </c>
      <c r="F87" s="11">
        <v>3.4</v>
      </c>
      <c r="G87" s="11">
        <v>3.2</v>
      </c>
      <c r="H87" s="13" t="s">
        <v>42</v>
      </c>
      <c r="I87" s="11" t="s">
        <v>42</v>
      </c>
      <c r="J87" s="11" t="s">
        <v>42</v>
      </c>
      <c r="K87" s="14" t="s">
        <v>42</v>
      </c>
      <c r="L87" s="15">
        <f>IFERROR(__xludf.DUMMYFUNCTION("IF($D87=""Euro"",'Data in Local Currency'!E87,
IF($D87=""Dolar"",'Data in Local Currency'!E87*GOOGLEFINANCE(""Currency:USDEUR""),
IF($D87=""Franco Suíço"",'Data in Local Currency'!E87*GOOGLEFINANCE(""Currency:CHFEUR""),
IF($D87=""Libra Esterlina"", 'Data "&amp;"in Local Currency'!E87*GOOGLEFINANCE(""Currency:GBPEUR""),
IF($D87=""Iene"",'Data in Local Currency'!E87*GOOGLEFINANCE(""Currency:JPYEUR""),
IF($D87=""HKD"",'Data in Local Currency'!E87*GOOGLEFINANCE(""Currency:HKDEUR""),
IF($D87=""KRW"",'Data in Local Cu"&amp;"rrency'!E87*GOOGLEFINANCE(""Currency:KRWEUR""),"""")))))))"),13.64)</f>
        <v>13.64</v>
      </c>
      <c r="M87" s="20">
        <f>'Data in Local Currency'!F87</f>
        <v>2001</v>
      </c>
      <c r="N87" s="15">
        <f>IFERROR(__xludf.DUMMYFUNCTION("IF($D87=""Euro"",'Data in Local Currency'!G87,
IF($D87=""Dolar"",'Data in Local Currency'!G87*GOOGLEFINANCE(""Currency:USDEUR""),
IF($D87=""Franco Suíço"",'Data in Local Currency'!G87*GOOGLEFINANCE(""Currency:CHFEUR""),
IF($D87=""Libra Esterlina"", 'Data "&amp;"in Local Currency'!G87*GOOGLEFINANCE(""Currency:GBPEUR""),
IF($D87=""Iene"",'Data in Local Currency'!G87*GOOGLEFINANCE(""Currency:JPYEUR""),
IF($D87=""HKD"",'Data in Local Currency'!G87*GOOGLEFINANCE(""Currency:HKDEUR""),
IF($D87=""KRW"",'Data in Local Cu"&amp;"rrency'!G87*GOOGLEFINANCE(""Currency:KRWEUR""),"""")))))))"),32.38)</f>
        <v>32.38</v>
      </c>
      <c r="O87" s="15">
        <v>22.82</v>
      </c>
      <c r="P87" s="11">
        <v>2.52</v>
      </c>
      <c r="Q87" s="17">
        <v>1.15</v>
      </c>
      <c r="R87" s="11" t="s">
        <v>27</v>
      </c>
      <c r="S87" s="17">
        <v>0.0</v>
      </c>
    </row>
    <row r="88">
      <c r="A88" s="11" t="s">
        <v>284</v>
      </c>
      <c r="B88" s="11" t="s">
        <v>285</v>
      </c>
      <c r="C88" s="11" t="s">
        <v>286</v>
      </c>
      <c r="D88" s="12" t="s">
        <v>26</v>
      </c>
      <c r="E88" s="11">
        <v>3.9</v>
      </c>
      <c r="F88" s="11">
        <v>3.6</v>
      </c>
      <c r="G88" s="11">
        <v>3.6</v>
      </c>
      <c r="H88" s="13" t="s">
        <v>42</v>
      </c>
      <c r="I88" s="11" t="s">
        <v>42</v>
      </c>
      <c r="J88" s="11" t="s">
        <v>42</v>
      </c>
      <c r="K88" s="14" t="s">
        <v>42</v>
      </c>
      <c r="L88" s="15">
        <f>IFERROR(__xludf.DUMMYFUNCTION("IF($D88=""Euro"",'Data in Local Currency'!E88,
IF($D88=""Dolar"",'Data in Local Currency'!E88*GOOGLEFINANCE(""Currency:USDEUR""),
IF($D88=""Franco Suíço"",'Data in Local Currency'!E88*GOOGLEFINANCE(""Currency:CHFEUR""),
IF($D88=""Libra Esterlina"", 'Data "&amp;"in Local Currency'!E88*GOOGLEFINANCE(""Currency:GBPEUR""),
IF($D88=""Iene"",'Data in Local Currency'!E88*GOOGLEFINANCE(""Currency:JPYEUR""),
IF($D88=""HKD"",'Data in Local Currency'!E88*GOOGLEFINANCE(""Currency:HKDEUR""),
IF($D88=""KRW"",'Data in Local Cu"&amp;"rrency'!E88*GOOGLEFINANCE(""Currency:KRWEUR""),"""")))))))"),19.9)</f>
        <v>19.9</v>
      </c>
      <c r="M88" s="20">
        <f>'Data in Local Currency'!F88</f>
        <v>2006</v>
      </c>
      <c r="N88" s="15">
        <f>IFERROR(__xludf.DUMMYFUNCTION("IF($D88=""Euro"",'Data in Local Currency'!G88,
IF($D88=""Dolar"",'Data in Local Currency'!G88*GOOGLEFINANCE(""Currency:USDEUR""),
IF($D88=""Franco Suíço"",'Data in Local Currency'!G88*GOOGLEFINANCE(""Currency:CHFEUR""),
IF($D88=""Libra Esterlina"", 'Data "&amp;"in Local Currency'!G88*GOOGLEFINANCE(""Currency:GBPEUR""),
IF($D88=""Iene"",'Data in Local Currency'!G88*GOOGLEFINANCE(""Currency:JPYEUR""),
IF($D88=""HKD"",'Data in Local Currency'!G88*GOOGLEFINANCE(""Currency:HKDEUR""),
IF($D88=""KRW"",'Data in Local Cu"&amp;"rrency'!G88*GOOGLEFINANCE(""Currency:KRWEUR""),"""")))))))"),16.13)</f>
        <v>16.13</v>
      </c>
      <c r="O88" s="15">
        <v>9.0</v>
      </c>
      <c r="P88" s="11">
        <v>1.34</v>
      </c>
      <c r="Q88" s="17">
        <v>0.16</v>
      </c>
      <c r="R88" s="11" t="s">
        <v>32</v>
      </c>
      <c r="S88" s="17"/>
    </row>
    <row r="89">
      <c r="A89" s="11" t="s">
        <v>287</v>
      </c>
      <c r="B89" s="11" t="s">
        <v>288</v>
      </c>
      <c r="C89" s="11" t="s">
        <v>289</v>
      </c>
      <c r="D89" s="12" t="s">
        <v>31</v>
      </c>
      <c r="E89" s="11">
        <v>4.1</v>
      </c>
      <c r="F89" s="11">
        <v>4.0</v>
      </c>
      <c r="G89" s="11">
        <v>3.7</v>
      </c>
      <c r="H89" s="13">
        <v>4.5</v>
      </c>
      <c r="I89" s="11">
        <v>42.0</v>
      </c>
      <c r="J89" s="11">
        <v>84.0</v>
      </c>
      <c r="K89" s="14">
        <v>76.0</v>
      </c>
      <c r="L89" s="15">
        <f>IFERROR(__xludf.DUMMYFUNCTION("IF($D89=""Euro"",'Data in Local Currency'!E89,
IF($D89=""Dolar"",'Data in Local Currency'!E89*GOOGLEFINANCE(""Currency:USDEUR""),
IF($D89=""Franco Suíço"",'Data in Local Currency'!E89*GOOGLEFINANCE(""Currency:CHFEUR""),
IF($D89=""Libra Esterlina"", 'Data "&amp;"in Local Currency'!E89*GOOGLEFINANCE(""Currency:GBPEUR""),
IF($D89=""Iene"",'Data in Local Currency'!E89*GOOGLEFINANCE(""Currency:JPYEUR""),
IF($D89=""HKD"",'Data in Local Currency'!E89*GOOGLEFINANCE(""Currency:HKDEUR""),
IF($D89=""KRW"",'Data in Local Cu"&amp;"rrency'!E89*GOOGLEFINANCE(""Currency:KRWEUR""),"""")))))))"),27.419237999999996)</f>
        <v>27.419238</v>
      </c>
      <c r="M89" s="20">
        <f>'Data in Local Currency'!F89</f>
        <v>2009</v>
      </c>
      <c r="N89" s="15">
        <f>IFERROR(__xludf.DUMMYFUNCTION("IF($D89=""Euro"",'Data in Local Currency'!G89,
IF($D89=""Dolar"",'Data in Local Currency'!G89*GOOGLEFINANCE(""Currency:USDEUR""),
IF($D89=""Franco Suíço"",'Data in Local Currency'!G89*GOOGLEFINANCE(""Currency:CHFEUR""),
IF($D89=""Libra Esterlina"", 'Data "&amp;"in Local Currency'!G89*GOOGLEFINANCE(""Currency:GBPEUR""),
IF($D89=""Iene"",'Data in Local Currency'!G89*GOOGLEFINANCE(""Currency:JPYEUR""),
IF($D89=""HKD"",'Data in Local Currency'!G89*GOOGLEFINANCE(""Currency:HKDEUR""),
IF($D89=""KRW"",'Data in Local Cu"&amp;"rrency'!G89*GOOGLEFINANCE(""Currency:KRWEUR""),"""")))))))"),51.048899999999996)</f>
        <v>51.0489</v>
      </c>
      <c r="O89" s="15">
        <v>84.83</v>
      </c>
      <c r="P89" s="11">
        <v>2.76</v>
      </c>
      <c r="Q89" s="17">
        <v>0.07</v>
      </c>
      <c r="R89" s="11" t="s">
        <v>32</v>
      </c>
      <c r="S89" s="17"/>
    </row>
    <row r="90">
      <c r="H90" s="22"/>
      <c r="K90" s="23"/>
      <c r="L90" s="15" t="str">
        <f>IFERROR(__xludf.DUMMYFUNCTION("IF($D90=""Euro"",'Data in Local Currency'!E90,
IF($D90=""Dolar"",'Data in Local Currency'!E90*GOOGLEFINANCE(""Currency:USDEUR""),
IF($D90=""Franco Suíço"",'Data in Local Currency'!E90*GOOGLEFINANCE(""Currency:CHFEUR""),
IF($D90=""Libra Esterlina"", 'Data "&amp;"in Local Currency'!E90*GOOGLEFINANCE(""Currency:GBPEUR""),
IF($D90=""Iene"",'Data in Local Currency'!E90*GOOGLEFINANCE(""Currency:JPYEUR""),
IF($D90=""HKD"",'Data in Local Currency'!E90*GOOGLEFINANCE(""Currency:HKDEUR""),
IF($D90=""KRW"",'Data in Local Cu"&amp;"rrency'!E90*GOOGLEFINANCE(""Currency:KRWEUR""),"""")))))))"),"")</f>
        <v/>
      </c>
      <c r="M90" s="20" t="str">
        <f>'Data in Local Currency'!F90</f>
        <v/>
      </c>
      <c r="N90" s="15" t="str">
        <f>IFERROR(__xludf.DUMMYFUNCTION("IF($D90=""Euro"",'Data in Local Currency'!G90,
IF($D90=""Dolar"",'Data in Local Currency'!G90*GOOGLEFINANCE(""Currency:USDEUR""),
IF($D90=""Franco Suíço"",'Data in Local Currency'!G90*GOOGLEFINANCE(""Currency:CHFEUR""),
IF($D90=""Libra Esterlina"", 'Data "&amp;"in Local Currency'!G90*GOOGLEFINANCE(""Currency:GBPEUR""),
IF($D90=""Iene"",'Data in Local Currency'!G90*GOOGLEFINANCE(""Currency:JPYEUR""),
IF($D90=""HKD"",'Data in Local Currency'!G90*GOOGLEFINANCE(""Currency:HKDEUR""),
IF($D90=""KRW"",'Data in Local Cu"&amp;"rrency'!G90*GOOGLEFINANCE(""Currency:KRWEUR""),"""")))))))"),"")</f>
        <v/>
      </c>
      <c r="O90" s="16"/>
      <c r="P90" s="24"/>
      <c r="Q90" s="25"/>
      <c r="R90" s="24"/>
      <c r="S90" s="26"/>
    </row>
  </sheetData>
  <mergeCells count="23">
    <mergeCell ref="D1:D3"/>
    <mergeCell ref="E2:E3"/>
    <mergeCell ref="A1:A3"/>
    <mergeCell ref="B1:B3"/>
    <mergeCell ref="C1:C3"/>
    <mergeCell ref="E1:G1"/>
    <mergeCell ref="H1:K1"/>
    <mergeCell ref="M1:Q1"/>
    <mergeCell ref="R1:S1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</mergeCells>
  <hyperlinks>
    <hyperlink r:id="rId2" ref="E1"/>
    <hyperlink r:id="rId3" ref="H1"/>
    <hyperlink r:id="rId4" ref="M1"/>
    <hyperlink r:id="rId5" ref="R1"/>
  </hyperlinks>
  <drawing r:id="rId6"/>
  <legacy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5" t="s">
        <v>8</v>
      </c>
      <c r="F1" s="5" t="s">
        <v>9</v>
      </c>
      <c r="G1" s="5" t="s">
        <v>10</v>
      </c>
      <c r="H1" s="6" t="s">
        <v>11</v>
      </c>
      <c r="I1" s="5" t="s">
        <v>12</v>
      </c>
      <c r="J1" s="5" t="s">
        <v>13</v>
      </c>
      <c r="K1" s="7" t="s">
        <v>14</v>
      </c>
      <c r="L1" s="5" t="s">
        <v>15</v>
      </c>
      <c r="M1" s="5" t="s">
        <v>16</v>
      </c>
      <c r="N1" s="5" t="s">
        <v>17</v>
      </c>
      <c r="O1" s="5" t="s">
        <v>18</v>
      </c>
      <c r="P1" s="5" t="s">
        <v>19</v>
      </c>
      <c r="Q1" s="7" t="s">
        <v>20</v>
      </c>
      <c r="R1" s="5" t="s">
        <v>21</v>
      </c>
      <c r="S1" s="7" t="s">
        <v>22</v>
      </c>
    </row>
    <row r="2">
      <c r="A2" s="11" t="s">
        <v>23</v>
      </c>
      <c r="B2" s="11" t="s">
        <v>24</v>
      </c>
      <c r="C2" s="11" t="s">
        <v>25</v>
      </c>
      <c r="D2" s="12" t="s">
        <v>26</v>
      </c>
      <c r="E2" s="11">
        <v>4.2</v>
      </c>
      <c r="F2" s="11">
        <v>3.9</v>
      </c>
      <c r="G2" s="11">
        <v>3.7</v>
      </c>
      <c r="H2" s="13">
        <v>4.5</v>
      </c>
      <c r="I2" s="11">
        <v>31.0</v>
      </c>
      <c r="J2" s="11">
        <v>78.0</v>
      </c>
      <c r="K2" s="14">
        <v>76.0</v>
      </c>
      <c r="L2" s="15">
        <f>IFERROR(__xludf.DUMMYFUNCTION("IF($D2=""Euro"",'Data in Local Currency'!E4,
IF($D2=""Dolar"",'Data in Local Currency'!E4*GOOGLEFINANCE(""Currency:USDEUR""),
IF($D2=""Franco Suíço"",'Data in Local Currency'!E4*GOOGLEFINANCE(""Currency:CHFEUR""),
IF($D2=""Libra Esterlina"", 'Data in Loca"&amp;"l Currency'!E4*GOOGLEFINANCE(""Currency:GBPEUR""),
IF($D2=""Iene"",'Data in Local Currency'!E4*GOOGLEFINANCE(""Currency:JPYEUR""),
IF($D2=""HKD"",'Data in Local Currency'!E4*GOOGLEFINANCE(""Currency:HKDEUR""),
IF($D2=""KRW"",'Data in Local Currency'!E4*GO"&amp;"OGLEFINANCE(""Currency:KRWEUR""),"""")))))))"),14.1)</f>
        <v>14.1</v>
      </c>
      <c r="M2" s="16">
        <f>'Data in Local Currency'!F4</f>
        <v>1996</v>
      </c>
      <c r="N2" s="15">
        <f>IFERROR(__xludf.DUMMYFUNCTION("IF($D2=""Euro"",'Data in Local Currency'!G4,
IF($D2=""Dolar"",'Data in Local Currency'!G4*GOOGLEFINANCE(""Currency:USDEUR""),
IF($D2=""Franco Suíço"",'Data in Local Currency'!G4*GOOGLEFINANCE(""Currency:CHFEUR""),
IF($D2=""Libra Esterlina"", 'Data in Loca"&amp;"l Currency'!G4*GOOGLEFINANCE(""Currency:GBPEUR""),
IF($D2=""Iene"",'Data in Local Currency'!G4*GOOGLEFINANCE(""Currency:JPYEUR""),
IF($D2=""HKD"",'Data in Local Currency'!G4*GOOGLEFINANCE(""Currency:HKDEUR""),
IF($D2=""KRW"",'Data in Local Currency'!G4*GO"&amp;"OGLEFINANCE(""Currency:KRWEUR""),"""")))))))"),7.9)</f>
        <v>7.9</v>
      </c>
      <c r="O2" s="15">
        <v>76.67</v>
      </c>
      <c r="P2" s="11">
        <v>111.24</v>
      </c>
      <c r="Q2" s="17">
        <v>19.94</v>
      </c>
      <c r="R2" s="11" t="s">
        <v>27</v>
      </c>
      <c r="S2" s="17">
        <v>3.0</v>
      </c>
    </row>
    <row r="3">
      <c r="A3" s="11" t="s">
        <v>28</v>
      </c>
      <c r="B3" s="11" t="s">
        <v>29</v>
      </c>
      <c r="C3" s="11" t="s">
        <v>30</v>
      </c>
      <c r="D3" s="12" t="s">
        <v>31</v>
      </c>
      <c r="E3" s="11">
        <v>4.0</v>
      </c>
      <c r="F3" s="11">
        <v>4.0</v>
      </c>
      <c r="G3" s="11">
        <v>3.5</v>
      </c>
      <c r="H3" s="13">
        <v>4.0</v>
      </c>
      <c r="I3" s="11">
        <v>19.0</v>
      </c>
      <c r="J3" s="11">
        <v>68.0</v>
      </c>
      <c r="K3" s="14">
        <v>71.0</v>
      </c>
      <c r="L3" s="15">
        <f>IFERROR(__xludf.DUMMYFUNCTION("IF($D3=""Euro"",'Data in Local Currency'!E5,
IF($D3=""Dolar"",'Data in Local Currency'!E5*GOOGLEFINANCE(""Currency:USDEUR""),
IF($D3=""Franco Suíço"",'Data in Local Currency'!E5*GOOGLEFINANCE(""Currency:CHFEUR""),
IF($D3=""Libra Esterlina"", 'Data in Loca"&amp;"l Currency'!E5*GOOGLEFINANCE(""Currency:GBPEUR""),
IF($D3=""Iene"",'Data in Local Currency'!E5*GOOGLEFINANCE(""Currency:JPYEUR""),
IF($D3=""HKD"",'Data in Local Currency'!E5*GOOGLEFINANCE(""Currency:HKDEUR""),
IF($D3=""KRW"",'Data in Local Currency'!E5*GO"&amp;"OGLEFINANCE(""Currency:KRWEUR""),"""")))))))"),1.0945619999999998)</f>
        <v>1.094562</v>
      </c>
      <c r="M3" s="16">
        <f>'Data in Local Currency'!F5</f>
        <v>1982</v>
      </c>
      <c r="N3" s="15">
        <f>IFERROR(__xludf.DUMMYFUNCTION("IF($D3=""Euro"",'Data in Local Currency'!G5,
IF($D3=""Dolar"",'Data in Local Currency'!G5*GOOGLEFINANCE(""Currency:USDEUR""),
IF($D3=""Franco Suíço"",'Data in Local Currency'!G5*GOOGLEFINANCE(""Currency:CHFEUR""),
IF($D3=""Libra Esterlina"", 'Data in Loca"&amp;"l Currency'!G5*GOOGLEFINANCE(""Currency:GBPEUR""),
IF($D3=""Iene"",'Data in Local Currency'!G5*GOOGLEFINANCE(""Currency:JPYEUR""),
IF($D3=""HKD"",'Data in Local Currency'!G5*GOOGLEFINANCE(""Currency:HKDEUR""),
IF($D3=""KRW"",'Data in Local Currency'!G5*GO"&amp;"OGLEFINANCE(""Currency:KRWEUR""),"""")))))))"),104.296122)</f>
        <v>104.296122</v>
      </c>
      <c r="O3" s="15">
        <v>125.05</v>
      </c>
      <c r="P3" s="11">
        <v>61.37</v>
      </c>
      <c r="Q3" s="17">
        <v>8.06</v>
      </c>
      <c r="R3" s="11" t="s">
        <v>32</v>
      </c>
      <c r="S3" s="17"/>
    </row>
    <row r="4">
      <c r="A4" s="11" t="s">
        <v>33</v>
      </c>
      <c r="B4" s="11" t="s">
        <v>34</v>
      </c>
      <c r="C4" s="11" t="s">
        <v>35</v>
      </c>
      <c r="D4" s="12" t="s">
        <v>31</v>
      </c>
      <c r="E4" s="11">
        <v>4.2</v>
      </c>
      <c r="F4" s="18">
        <v>4.4</v>
      </c>
      <c r="G4" s="11">
        <v>3.9</v>
      </c>
      <c r="H4" s="13">
        <v>4.7</v>
      </c>
      <c r="I4" s="11">
        <v>36.0</v>
      </c>
      <c r="J4" s="11">
        <v>85.0</v>
      </c>
      <c r="K4" s="14">
        <v>79.0</v>
      </c>
      <c r="L4" s="15">
        <f>IFERROR(__xludf.DUMMYFUNCTION("IF($D4=""Euro"",'Data in Local Currency'!E6,
IF($D4=""Dolar"",'Data in Local Currency'!E6*GOOGLEFINANCE(""Currency:USDEUR""),
IF($D4=""Franco Suíço"",'Data in Local Currency'!E6*GOOGLEFINANCE(""Currency:CHFEUR""),
IF($D4=""Libra Esterlina"", 'Data in Loca"&amp;"l Currency'!E6*GOOGLEFINANCE(""Currency:GBPEUR""),
IF($D4=""Iene"",'Data in Local Currency'!E6*GOOGLEFINANCE(""Currency:JPYEUR""),
IF($D4=""HKD"",'Data in Local Currency'!E6*GOOGLEFINANCE(""Currency:HKDEUR""),
IF($D4=""KRW"",'Data in Local Currency'!E6*GO"&amp;"OGLEFINANCE(""Currency:KRWEUR""),"""")))))))"),16.841537999999996)</f>
        <v>16.841538</v>
      </c>
      <c r="M4" s="16">
        <f>'Data in Local Currency'!F6</f>
        <v>1998</v>
      </c>
      <c r="N4" s="15">
        <f>IFERROR(__xludf.DUMMYFUNCTION("IF($D4=""Euro"",'Data in Local Currency'!G6,
IF($D4=""Dolar"",'Data in Local Currency'!G6*GOOGLEFINANCE(""Currency:USDEUR""),
IF($D4=""Franco Suíço"",'Data in Local Currency'!G6*GOOGLEFINANCE(""Currency:CHFEUR""),
IF($D4=""Libra Esterlina"", 'Data in Loca"&amp;"l Currency'!G6*GOOGLEFINANCE(""Currency:GBPEUR""),
IF($D4=""Iene"",'Data in Local Currency'!G6*GOOGLEFINANCE(""Currency:JPYEUR""),
IF($D4=""HKD"",'Data in Local Currency'!G6*GOOGLEFINANCE(""Currency:HKDEUR""),
IF($D4=""KRW"",'Data in Local Currency'!G6*GO"&amp;"OGLEFINANCE(""Currency:KRWEUR""),"""")))))))"),110.26562399999999)</f>
        <v>110.265624</v>
      </c>
      <c r="O4" s="15">
        <v>292.78</v>
      </c>
      <c r="P4" s="11">
        <v>46.02</v>
      </c>
      <c r="Q4" s="17">
        <v>8.76</v>
      </c>
      <c r="R4" s="19" t="s">
        <v>32</v>
      </c>
      <c r="S4" s="17"/>
    </row>
    <row r="5">
      <c r="A5" s="11" t="s">
        <v>36</v>
      </c>
      <c r="B5" s="11" t="s">
        <v>37</v>
      </c>
      <c r="C5" s="11" t="s">
        <v>38</v>
      </c>
      <c r="D5" s="12" t="s">
        <v>31</v>
      </c>
      <c r="E5" s="11">
        <v>3.5</v>
      </c>
      <c r="F5" s="18">
        <v>3.2</v>
      </c>
      <c r="G5" s="11">
        <v>3.2</v>
      </c>
      <c r="H5" s="13">
        <v>3.3</v>
      </c>
      <c r="I5" s="11">
        <v>13.0</v>
      </c>
      <c r="J5" s="11">
        <v>65.0</v>
      </c>
      <c r="K5" s="14">
        <v>64.0</v>
      </c>
      <c r="L5" s="15">
        <f>IFERROR(__xludf.DUMMYFUNCTION("IF($D5=""Euro"",'Data in Local Currency'!E7,
IF($D5=""Dolar"",'Data in Local Currency'!E7*GOOGLEFINANCE(""Currency:USDEUR""),
IF($D5=""Franco Suíço"",'Data in Local Currency'!E7*GOOGLEFINANCE(""Currency:CHFEUR""),
IF($D5=""Libra Esterlina"", 'Data in Loca"&amp;"l Currency'!E7*GOOGLEFINANCE(""Currency:GBPEUR""),
IF($D5=""Iene"",'Data in Local Currency'!E7*GOOGLEFINANCE(""Currency:JPYEUR""),
IF($D5=""HKD"",'Data in Local Currency'!E7*GOOGLEFINANCE(""Currency:HKDEUR""),
IF($D5=""KRW"",'Data in Local Currency'!E7*GO"&amp;"OGLEFINANCE(""Currency:KRWEUR""),"""")))))))"),0.745038)</f>
        <v>0.745038</v>
      </c>
      <c r="M5" s="16">
        <f>'Data in Local Currency'!F7</f>
        <v>1982</v>
      </c>
      <c r="N5" s="15">
        <f>IFERROR(__xludf.DUMMYFUNCTION("IF($D5=""Euro"",'Data in Local Currency'!G7,
IF($D5=""Dolar"",'Data in Local Currency'!G7*GOOGLEFINANCE(""Currency:USDEUR""),
IF($D5=""Franco Suíço"",'Data in Local Currency'!G7*GOOGLEFINANCE(""Currency:CHFEUR""),
IF($D5=""Libra Esterlina"", 'Data in Loca"&amp;"l Currency'!G7*GOOGLEFINANCE(""Currency:GBPEUR""),
IF($D5=""Iene"",'Data in Local Currency'!G7*GOOGLEFINANCE(""Currency:JPYEUR""),
IF($D5=""HKD"",'Data in Local Currency'!G7*GOOGLEFINANCE(""Currency:HKDEUR""),
IF($D5=""KRW"",'Data in Local Currency'!G7*GO"&amp;"OGLEFINANCE(""Currency:KRWEUR""),"""")))))))"),119.21527800000001)</f>
        <v>119.215278</v>
      </c>
      <c r="O5" s="15">
        <v>212.28</v>
      </c>
      <c r="P5" s="11">
        <v>21.15</v>
      </c>
      <c r="Q5" s="17">
        <v>10.6</v>
      </c>
      <c r="R5" s="11" t="s">
        <v>32</v>
      </c>
      <c r="S5" s="17"/>
    </row>
    <row r="6">
      <c r="A6" s="11" t="s">
        <v>39</v>
      </c>
      <c r="B6" s="11" t="s">
        <v>40</v>
      </c>
      <c r="C6" s="11" t="s">
        <v>41</v>
      </c>
      <c r="D6" s="12" t="s">
        <v>31</v>
      </c>
      <c r="E6" s="11">
        <v>3.8</v>
      </c>
      <c r="F6" s="11">
        <v>3.4</v>
      </c>
      <c r="G6" s="11">
        <v>3.2</v>
      </c>
      <c r="H6" s="13"/>
      <c r="I6" s="11"/>
      <c r="J6" s="11"/>
      <c r="K6" s="14"/>
      <c r="L6" s="15">
        <f>IFERROR(__xludf.DUMMYFUNCTION("IF($D6=""Euro"",'Data in Local Currency'!E8,
IF($D6=""Dolar"",'Data in Local Currency'!E8*GOOGLEFINANCE(""Currency:USDEUR""),
IF($D6=""Franco Suíço"",'Data in Local Currency'!E8*GOOGLEFINANCE(""Currency:CHFEUR""),
IF($D6=""Libra Esterlina"", 'Data in Loca"&amp;"l Currency'!E8*GOOGLEFINANCE(""Currency:GBPEUR""),
IF($D6=""Iene"",'Data in Local Currency'!E8*GOOGLEFINANCE(""Currency:JPYEUR""),
IF($D6=""HKD"",'Data in Local Currency'!E8*GOOGLEFINANCE(""Currency:HKDEUR""),
IF($D6=""KRW"",'Data in Local Currency'!E8*GO"&amp;"OGLEFINANCE(""Currency:KRWEUR""),"""")))))))"),2.94336)</f>
        <v>2.94336</v>
      </c>
      <c r="M6" s="20">
        <f>'Data in Local Currency'!F8</f>
        <v>2001</v>
      </c>
      <c r="N6" s="15">
        <f>IFERROR(__xludf.DUMMYFUNCTION("IF($D6=""Euro"",'Data in Local Currency'!G8,
IF($D6=""Dolar"",'Data in Local Currency'!G8*GOOGLEFINANCE(""Currency:USDEUR""),
IF($D6=""Franco Suíço"",'Data in Local Currency'!G8*GOOGLEFINANCE(""Currency:CHFEUR""),
IF($D6=""Libra Esterlina"", 'Data in Loca"&amp;"l Currency'!G8*GOOGLEFINANCE(""Currency:GBPEUR""),
IF($D6=""Iene"",'Data in Local Currency'!G8*GOOGLEFINANCE(""Currency:JPYEUR""),
IF($D6=""HKD"",'Data in Local Currency'!G8*GOOGLEFINANCE(""Currency:HKDEUR""),
IF($D6=""KRW"",'Data in Local Currency'!G8*GO"&amp;"OGLEFINANCE(""Currency:KRWEUR""),"""")))))))"),37.02195)</f>
        <v>37.02195</v>
      </c>
      <c r="O6" s="15">
        <v>30.7609</v>
      </c>
      <c r="P6" s="11">
        <v>87.39</v>
      </c>
      <c r="Q6" s="17">
        <v>8.5</v>
      </c>
      <c r="R6" s="11" t="s">
        <v>27</v>
      </c>
      <c r="S6" s="17">
        <v>0.0</v>
      </c>
    </row>
    <row r="7">
      <c r="A7" s="11" t="s">
        <v>43</v>
      </c>
      <c r="B7" s="11" t="s">
        <v>44</v>
      </c>
      <c r="C7" s="11" t="s">
        <v>45</v>
      </c>
      <c r="D7" s="12" t="s">
        <v>31</v>
      </c>
      <c r="E7" s="11">
        <v>4.0</v>
      </c>
      <c r="F7" s="11">
        <v>3.9</v>
      </c>
      <c r="G7" s="11">
        <v>3.5</v>
      </c>
      <c r="H7" s="13">
        <v>2.9</v>
      </c>
      <c r="I7" s="11">
        <v>4.0</v>
      </c>
      <c r="J7" s="11">
        <v>61.0</v>
      </c>
      <c r="K7" s="14">
        <v>64.0</v>
      </c>
      <c r="L7" s="15">
        <f>IFERROR(__xludf.DUMMYFUNCTION("IF($D7=""Euro"",'Data in Local Currency'!E9,
IF($D7=""Dolar"",'Data in Local Currency'!E9*GOOGLEFINANCE(""Currency:USDEUR""),
IF($D7=""Franco Suíço"",'Data in Local Currency'!E9*GOOGLEFINANCE(""Currency:CHFEUR""),
IF($D7=""Libra Esterlina"", 'Data in Loca"&amp;"l Currency'!E9*GOOGLEFINANCE(""Currency:GBPEUR""),
IF($D7=""Iene"",'Data in Local Currency'!E9*GOOGLEFINANCE(""Currency:JPYEUR""),
IF($D7=""HKD"",'Data in Local Currency'!E9*GOOGLEFINANCE(""Currency:HKDEUR""),
IF($D7=""KRW"",'Data in Local Currency'!E9*GO"&amp;"OGLEFINANCE(""Currency:KRWEUR""),"""")))))))"),5.546394)</f>
        <v>5.546394</v>
      </c>
      <c r="M7" s="16">
        <f>'Data in Local Currency'!F9</f>
        <v>1982</v>
      </c>
      <c r="N7" s="15">
        <f>IFERROR(__xludf.DUMMYFUNCTION("IF($D7=""Euro"",'Data in Local Currency'!G9,
IF($D7=""Dolar"",'Data in Local Currency'!G9*GOOGLEFINANCE(""Currency:USDEUR""),
IF($D7=""Franco Suíço"",'Data in Local Currency'!G9*GOOGLEFINANCE(""Currency:CHFEUR""),
IF($D7=""Libra Esterlina"", 'Data in Loca"&amp;"l Currency'!G9*GOOGLEFINANCE(""Currency:GBPEUR""),
IF($D7=""Iene"",'Data in Local Currency'!G9*GOOGLEFINANCE(""Currency:JPYEUR""),
IF($D7=""HKD"",'Data in Local Currency'!G9*GOOGLEFINANCE(""Currency:HKDEUR""),
IF($D7=""KRW"",'Data in Local Currency'!G9*GO"&amp;"OGLEFINANCE(""Currency:KRWEUR""),"""")))))))"),85.320648)</f>
        <v>85.320648</v>
      </c>
      <c r="O7" s="15">
        <v>201.77</v>
      </c>
      <c r="P7" s="11">
        <v>46.43</v>
      </c>
      <c r="Q7" s="17">
        <v>8.49</v>
      </c>
      <c r="R7" s="11" t="s">
        <v>32</v>
      </c>
      <c r="S7" s="17"/>
    </row>
    <row r="8">
      <c r="A8" s="11" t="s">
        <v>46</v>
      </c>
      <c r="B8" s="11" t="s">
        <v>47</v>
      </c>
      <c r="C8" s="11" t="s">
        <v>48</v>
      </c>
      <c r="D8" s="12" t="s">
        <v>31</v>
      </c>
      <c r="E8" s="11">
        <v>4.0</v>
      </c>
      <c r="F8" s="11">
        <v>3.6</v>
      </c>
      <c r="G8" s="11">
        <v>3.6</v>
      </c>
      <c r="H8" s="13">
        <v>4.3</v>
      </c>
      <c r="I8" s="11">
        <v>33.0</v>
      </c>
      <c r="J8" s="11">
        <v>80.0</v>
      </c>
      <c r="K8" s="14">
        <v>57.0</v>
      </c>
      <c r="L8" s="15">
        <f>IFERROR(__xludf.DUMMYFUNCTION("IF($D8=""Euro"",'Data in Local Currency'!E10,
IF($D8=""Dolar"",'Data in Local Currency'!E10*GOOGLEFINANCE(""Currency:USDEUR""),
IF($D8=""Franco Suíço"",'Data in Local Currency'!E10*GOOGLEFINANCE(""Currency:CHFEUR""),
IF($D8=""Libra Esterlina"", 'Data in L"&amp;"ocal Currency'!E10*GOOGLEFINANCE(""Currency:GBPEUR""),
IF($D8=""Iene"",'Data in Local Currency'!E10*GOOGLEFINANCE(""Currency:JPYEUR""),
IF($D8=""HKD"",'Data in Local Currency'!E10*GOOGLEFINANCE(""Currency:HKDEUR""),
IF($D8=""KRW"",'Data in Local Currency'"&amp;"!E10*GOOGLEFINANCE(""Currency:KRWEUR""),"""")))))))"),78.99242399999999)</f>
        <v>78.992424</v>
      </c>
      <c r="M8" s="20">
        <f>'Data in Local Currency'!F10</f>
        <v>2014</v>
      </c>
      <c r="N8" s="15">
        <f>IFERROR(__xludf.DUMMYFUNCTION("IF($D8=""Euro"",'Data in Local Currency'!G10,
IF($D8=""Dolar"",'Data in Local Currency'!G10*GOOGLEFINANCE(""Currency:USDEUR""),
IF($D8=""Franco Suíço"",'Data in Local Currency'!G10*GOOGLEFINANCE(""Currency:CHFEUR""),
IF($D8=""Libra Esterlina"", 'Data in L"&amp;"ocal Currency'!G10*GOOGLEFINANCE(""Currency:GBPEUR""),
IF($D8=""Iene"",'Data in Local Currency'!G10*GOOGLEFINANCE(""Currency:JPYEUR""),
IF($D8=""HKD"",'Data in Local Currency'!G10*GOOGLEFINANCE(""Currency:HKDEUR""),
IF($D8=""KRW"",'Data in Local Currency'"&amp;"!G10*GOOGLEFINANCE(""Currency:KRWEUR""),"""")))))))"),99.18203399999999)</f>
        <v>99.182034</v>
      </c>
      <c r="O8" s="15">
        <v>93.39</v>
      </c>
      <c r="P8" s="11">
        <v>102.51</v>
      </c>
      <c r="Q8" s="17">
        <v>28.13</v>
      </c>
      <c r="R8" s="11" t="s">
        <v>27</v>
      </c>
      <c r="S8" s="17">
        <v>2.0</v>
      </c>
    </row>
    <row r="9">
      <c r="A9" s="11" t="s">
        <v>49</v>
      </c>
      <c r="B9" s="11" t="s">
        <v>50</v>
      </c>
      <c r="C9" s="11" t="s">
        <v>51</v>
      </c>
      <c r="D9" s="12" t="s">
        <v>31</v>
      </c>
      <c r="E9" s="11">
        <v>3.8</v>
      </c>
      <c r="F9" s="11">
        <v>3.8</v>
      </c>
      <c r="G9" s="11">
        <v>3.3</v>
      </c>
      <c r="H9" s="13">
        <v>4.5</v>
      </c>
      <c r="I9" s="11">
        <v>15.0</v>
      </c>
      <c r="J9" s="11">
        <v>71.0</v>
      </c>
      <c r="K9" s="14">
        <v>72.0</v>
      </c>
      <c r="L9" s="15">
        <f>IFERROR(__xludf.DUMMYFUNCTION("IF($D9=""Euro"",'Data in Local Currency'!E11,
IF($D9=""Dolar"",'Data in Local Currency'!E11*GOOGLEFINANCE(""Currency:USDEUR""),
IF($D9=""Franco Suíço"",'Data in Local Currency'!E11*GOOGLEFINANCE(""Currency:CHFEUR""),
IF($D9=""Libra Esterlina"", 'Data in L"&amp;"ocal Currency'!E11*GOOGLEFINANCE(""Currency:GBPEUR""),
IF($D9=""Iene"",'Data in Local Currency'!E11*GOOGLEFINANCE(""Currency:JPYEUR""),
IF($D9=""HKD"",'Data in Local Currency'!E11*GOOGLEFINANCE(""Currency:HKDEUR""),
IF($D9=""KRW"",'Data in Local Currency'"&amp;"!E11*GOOGLEFINANCE(""Currency:KRWEUR""),"""")))))))"),0.294336)</f>
        <v>0.294336</v>
      </c>
      <c r="M9" s="20">
        <f>'Data in Local Currency'!F11</f>
        <v>1992</v>
      </c>
      <c r="N9" s="15">
        <f>IFERROR(__xludf.DUMMYFUNCTION("IF($D9=""Euro"",'Data in Local Currency'!G11,
IF($D9=""Dolar"",'Data in Local Currency'!G11*GOOGLEFINANCE(""Currency:USDEUR""),
IF($D9=""Franco Suíço"",'Data in Local Currency'!G11*GOOGLEFINANCE(""Currency:CHFEUR""),
IF($D9=""Libra Esterlina"", 'Data in L"&amp;"ocal Currency'!G11*GOOGLEFINANCE(""Currency:GBPEUR""),
IF($D9=""Iene"",'Data in Local Currency'!G11*GOOGLEFINANCE(""Currency:JPYEUR""),
IF($D9=""HKD"",'Data in Local Currency'!G11*GOOGLEFINANCE(""Currency:HKDEUR""),
IF($D9=""KRW"",'Data in Local Currency'"&amp;"!G11*GOOGLEFINANCE(""Currency:KRWEUR""),"""")))))))"),55.243187999999996)</f>
        <v>55.243188</v>
      </c>
      <c r="O9" s="15">
        <v>78.35</v>
      </c>
      <c r="P9" s="11">
        <v>26.47</v>
      </c>
      <c r="Q9" s="17">
        <v>6.78</v>
      </c>
      <c r="R9" s="11" t="s">
        <v>27</v>
      </c>
      <c r="S9" s="17">
        <v>4.0</v>
      </c>
    </row>
    <row r="10">
      <c r="A10" s="11" t="s">
        <v>52</v>
      </c>
      <c r="B10" s="11" t="s">
        <v>53</v>
      </c>
      <c r="C10" s="11" t="s">
        <v>54</v>
      </c>
      <c r="D10" s="12" t="s">
        <v>26</v>
      </c>
      <c r="E10" s="11">
        <v>3.4</v>
      </c>
      <c r="F10" s="11">
        <v>3.4</v>
      </c>
      <c r="G10" s="11">
        <v>2.7</v>
      </c>
      <c r="H10" s="13"/>
      <c r="I10" s="11"/>
      <c r="J10" s="11"/>
      <c r="K10" s="14"/>
      <c r="L10" s="15">
        <f>IFERROR(__xludf.DUMMYFUNCTION("IF($D10=""Euro"",'Data in Local Currency'!E12,
IF($D10=""Dolar"",'Data in Local Currency'!E12*GOOGLEFINANCE(""Currency:USDEUR""),
IF($D10=""Franco Suíço"",'Data in Local Currency'!E12*GOOGLEFINANCE(""Currency:CHFEUR""),
IF($D10=""Libra Esterlina"", 'Data "&amp;"in Local Currency'!E12*GOOGLEFINANCE(""Currency:GBPEUR""),
IF($D10=""Iene"",'Data in Local Currency'!E12*GOOGLEFINANCE(""Currency:JPYEUR""),
IF($D10=""HKD"",'Data in Local Currency'!E12*GOOGLEFINANCE(""Currency:HKDEUR""),
IF($D10=""KRW"",'Data in Local Cu"&amp;"rrency'!E12*GOOGLEFINANCE(""Currency:KRWEUR""),"""")))))))"),4.6)</f>
        <v>4.6</v>
      </c>
      <c r="M10" s="20">
        <f>'Data in Local Currency'!F12</f>
        <v>2000</v>
      </c>
      <c r="N10" s="15">
        <f>IFERROR(__xludf.DUMMYFUNCTION("IF($D10=""Euro"",'Data in Local Currency'!G12,
IF($D10=""Dolar"",'Data in Local Currency'!G12*GOOGLEFINANCE(""Currency:USDEUR""),
IF($D10=""Franco Suíço"",'Data in Local Currency'!G12*GOOGLEFINANCE(""Currency:CHFEUR""),
IF($D10=""Libra Esterlina"", 'Data "&amp;"in Local Currency'!G12*GOOGLEFINANCE(""Currency:GBPEUR""),
IF($D10=""Iene"",'Data in Local Currency'!G12*GOOGLEFINANCE(""Currency:JPYEUR""),
IF($D10=""HKD"",'Data in Local Currency'!G12*GOOGLEFINANCE(""Currency:HKDEUR""),
IF($D10=""KRW"",'Data in Local Cu"&amp;"rrency'!G12*GOOGLEFINANCE(""Currency:KRWEUR""),"""")))))))"),44.34)</f>
        <v>44.34</v>
      </c>
      <c r="O10" s="15">
        <v>64.8</v>
      </c>
      <c r="P10" s="11">
        <v>1.08</v>
      </c>
      <c r="Q10" s="17">
        <v>0.23</v>
      </c>
      <c r="R10" s="11" t="s">
        <v>32</v>
      </c>
      <c r="S10" s="17"/>
    </row>
    <row r="11">
      <c r="A11" s="19" t="s">
        <v>55</v>
      </c>
      <c r="B11" s="19" t="s">
        <v>56</v>
      </c>
      <c r="C11" s="19" t="s">
        <v>57</v>
      </c>
      <c r="D11" s="12" t="s">
        <v>26</v>
      </c>
      <c r="E11" s="11">
        <v>4.1</v>
      </c>
      <c r="F11" s="11">
        <v>4.1</v>
      </c>
      <c r="G11" s="11">
        <v>3.6</v>
      </c>
      <c r="H11" s="13">
        <v>3.7</v>
      </c>
      <c r="I11" s="11">
        <v>19.0</v>
      </c>
      <c r="J11" s="11">
        <v>73.0</v>
      </c>
      <c r="K11" s="14">
        <v>67.0</v>
      </c>
      <c r="L11" s="15">
        <f>IFERROR(__xludf.DUMMYFUNCTION("IF($D11=""Euro"",'Data in Local Currency'!E13,
IF($D11=""Dolar"",'Data in Local Currency'!E13*GOOGLEFINANCE(""Currency:USDEUR""),
IF($D11=""Franco Suíço"",'Data in Local Currency'!E13*GOOGLEFINANCE(""Currency:CHFEUR""),
IF($D11=""Libra Esterlina"", 'Data "&amp;"in Local Currency'!E13*GOOGLEFINANCE(""Currency:GBPEUR""),
IF($D11=""Iene"",'Data in Local Currency'!E13*GOOGLEFINANCE(""Currency:JPYEUR""),
IF($D11=""HKD"",'Data in Local Currency'!E13*GOOGLEFINANCE(""Currency:HKDEUR""),
IF($D11=""KRW"",'Data in Local Cu"&amp;"rrency'!E13*GOOGLEFINANCE(""Currency:KRWEUR""),"""")))))))"),26.44)</f>
        <v>26.44</v>
      </c>
      <c r="M11" s="20">
        <f>'Data in Local Currency'!F13</f>
        <v>2005</v>
      </c>
      <c r="N11" s="15">
        <f>IFERROR(__xludf.DUMMYFUNCTION("IF($D11=""Euro"",'Data in Local Currency'!G13,
IF($D11=""Dolar"",'Data in Local Currency'!G13*GOOGLEFINANCE(""Currency:USDEUR""),
IF($D11=""Franco Suíço"",'Data in Local Currency'!G13*GOOGLEFINANCE(""Currency:CHFEUR""),
IF($D11=""Libra Esterlina"", 'Data "&amp;"in Local Currency'!G13*GOOGLEFINANCE(""Currency:GBPEUR""),
IF($D11=""Iene"",'Data in Local Currency'!G13*GOOGLEFINANCE(""Currency:JPYEUR""),
IF($D11=""HKD"",'Data in Local Currency'!G13*GOOGLEFINANCE(""Currency:HKDEUR""),
IF($D11=""KRW"",'Data in Local Cu"&amp;"rrency'!G13*GOOGLEFINANCE(""Currency:KRWEUR""),"""")))))))"),23.88)</f>
        <v>23.88</v>
      </c>
      <c r="O11" s="15">
        <v>24.14</v>
      </c>
      <c r="P11" s="11">
        <v>238.15</v>
      </c>
      <c r="Q11" s="17">
        <v>28.9</v>
      </c>
      <c r="R11" s="11" t="s">
        <v>27</v>
      </c>
      <c r="S11" s="17">
        <v>2.0</v>
      </c>
    </row>
    <row r="12">
      <c r="A12" s="11" t="s">
        <v>58</v>
      </c>
      <c r="B12" s="11" t="s">
        <v>59</v>
      </c>
      <c r="C12" s="11" t="s">
        <v>60</v>
      </c>
      <c r="D12" s="12" t="s">
        <v>61</v>
      </c>
      <c r="E12" s="11">
        <v>3.7</v>
      </c>
      <c r="F12" s="11">
        <v>3.4</v>
      </c>
      <c r="G12" s="11">
        <v>3.1</v>
      </c>
      <c r="H12" s="13">
        <v>4.1</v>
      </c>
      <c r="I12" s="11">
        <v>25.0</v>
      </c>
      <c r="J12" s="11">
        <v>63.0</v>
      </c>
      <c r="K12" s="14">
        <v>69.0</v>
      </c>
      <c r="L12" s="15">
        <f>IFERROR(__xludf.DUMMYFUNCTION("IF($D12=""Euro"",'Data in Local Currency'!E14,
IF($D12=""Dolar"",'Data in Local Currency'!E14*GOOGLEFINANCE(""Currency:USDEUR""),
IF($D12=""Franco Suíço"",'Data in Local Currency'!E14*GOOGLEFINANCE(""Currency:CHFEUR""),
IF($D12=""Libra Esterlina"", 'Data "&amp;"in Local Currency'!E14*GOOGLEFINANCE(""Currency:GBPEUR""),
IF($D12=""Iene"",'Data in Local Currency'!E14*GOOGLEFINANCE(""Currency:JPYEUR""),
IF($D12=""HKD"",'Data in Local Currency'!E14*GOOGLEFINANCE(""Currency:HKDEUR""),
IF($D12=""KRW"",'Data in Local Cu"&amp;"rrency'!E14*GOOGLEFINANCE(""Currency:KRWEUR""),"""")))))))"),29.446945343999996)</f>
        <v>29.44694534</v>
      </c>
      <c r="M12" s="20">
        <f>'Data in Local Currency'!F14</f>
        <v>2001</v>
      </c>
      <c r="N12" s="15">
        <f>IFERROR(__xludf.DUMMYFUNCTION("IF($D12=""Euro"",'Data in Local Currency'!G14,
IF($D12=""Dolar"",'Data in Local Currency'!G14*GOOGLEFINANCE(""Currency:USDEUR""),
IF($D12=""Franco Suíço"",'Data in Local Currency'!G14*GOOGLEFINANCE(""Currency:CHFEUR""),
IF($D12=""Libra Esterlina"", 'Data "&amp;"in Local Currency'!G14*GOOGLEFINANCE(""Currency:GBPEUR""),
IF($D12=""Iene"",'Data in Local Currency'!G14*GOOGLEFINANCE(""Currency:JPYEUR""),
IF($D12=""HKD"",'Data in Local Currency'!G14*GOOGLEFINANCE(""Currency:HKDEUR""),
IF($D12=""KRW"",'Data in Local Cu"&amp;"rrency'!G14*GOOGLEFINANCE(""Currency:KRWEUR""),"""")))))))"),55.52683775999999)</f>
        <v>55.52683776</v>
      </c>
      <c r="O12" s="15">
        <v>44.73</v>
      </c>
      <c r="P12" s="11">
        <v>26.12</v>
      </c>
      <c r="Q12" s="17">
        <v>6.25</v>
      </c>
      <c r="R12" s="11" t="s">
        <v>27</v>
      </c>
      <c r="S12" s="17">
        <v>8.0</v>
      </c>
    </row>
    <row r="13">
      <c r="A13" s="11" t="s">
        <v>62</v>
      </c>
      <c r="B13" s="11" t="s">
        <v>63</v>
      </c>
      <c r="C13" s="11" t="s">
        <v>64</v>
      </c>
      <c r="D13" s="12" t="s">
        <v>26</v>
      </c>
      <c r="E13" s="11">
        <v>4.1</v>
      </c>
      <c r="F13" s="11">
        <v>4.2</v>
      </c>
      <c r="G13" s="11">
        <v>3.8</v>
      </c>
      <c r="H13" s="13">
        <v>4.5</v>
      </c>
      <c r="I13" s="11">
        <v>35.0</v>
      </c>
      <c r="J13" s="11">
        <v>78.0</v>
      </c>
      <c r="K13" s="14">
        <v>72.0</v>
      </c>
      <c r="L13" s="15">
        <f>IFERROR(__xludf.DUMMYFUNCTION("IF($D13=""Euro"",'Data in Local Currency'!E15,
IF($D13=""Dolar"",'Data in Local Currency'!E15*GOOGLEFINANCE(""Currency:USDEUR""),
IF($D13=""Franco Suíço"",'Data in Local Currency'!E15*GOOGLEFINANCE(""Currency:CHFEUR""),
IF($D13=""Libra Esterlina"", 'Data "&amp;"in Local Currency'!E15*GOOGLEFINANCE(""Currency:GBPEUR""),
IF($D13=""Iene"",'Data in Local Currency'!E15*GOOGLEFINANCE(""Currency:JPYEUR""),
IF($D13=""HKD"",'Data in Local Currency'!E15*GOOGLEFINANCE(""Currency:HKDEUR""),
IF($D13=""KRW"",'Data in Local Cu"&amp;"rrency'!E15*GOOGLEFINANCE(""Currency:KRWEUR""),"""")))))))"),31.34)</f>
        <v>31.34</v>
      </c>
      <c r="M13" s="20">
        <f>'Data in Local Currency'!F15</f>
        <v>2000</v>
      </c>
      <c r="N13" s="15">
        <f>IFERROR(__xludf.DUMMYFUNCTION("IF($D13=""Euro"",'Data in Local Currency'!G15,
IF($D13=""Dolar"",'Data in Local Currency'!G15*GOOGLEFINANCE(""Currency:USDEUR""),
IF($D13=""Franco Suíço"",'Data in Local Currency'!G15*GOOGLEFINANCE(""Currency:CHFEUR""),
IF($D13=""Libra Esterlina"", 'Data "&amp;"in Local Currency'!G15*GOOGLEFINANCE(""Currency:GBPEUR""),
IF($D13=""Iene"",'Data in Local Currency'!G15*GOOGLEFINANCE(""Currency:JPYEUR""),
IF($D13=""HKD"",'Data in Local Currency'!G15*GOOGLEFINANCE(""Currency:HKDEUR""),
IF($D13=""KRW"",'Data in Local Cu"&amp;"rrency'!G15*GOOGLEFINANCE(""Currency:KRWEUR""),"""")))))))"),119.95)</f>
        <v>119.95</v>
      </c>
      <c r="O13" s="15">
        <v>123.25</v>
      </c>
      <c r="P13" s="11">
        <v>23.8</v>
      </c>
      <c r="Q13" s="17"/>
      <c r="R13" s="11" t="s">
        <v>27</v>
      </c>
      <c r="S13" s="17">
        <v>3.0</v>
      </c>
    </row>
    <row r="14">
      <c r="A14" s="11" t="s">
        <v>65</v>
      </c>
      <c r="B14" s="11" t="s">
        <v>66</v>
      </c>
      <c r="C14" s="11" t="s">
        <v>67</v>
      </c>
      <c r="D14" s="12" t="s">
        <v>26</v>
      </c>
      <c r="E14" s="11">
        <v>3.3</v>
      </c>
      <c r="F14" s="11">
        <v>2.9</v>
      </c>
      <c r="G14" s="11">
        <v>2.7</v>
      </c>
      <c r="H14" s="13">
        <v>2.6</v>
      </c>
      <c r="I14" s="11">
        <v>75.0</v>
      </c>
      <c r="J14" s="11">
        <v>25.0</v>
      </c>
      <c r="K14" s="14">
        <v>38.0</v>
      </c>
      <c r="L14" s="15">
        <f>IFERROR(__xludf.DUMMYFUNCTION("IF($D14=""Euro"",'Data in Local Currency'!E16,
IF($D14=""Dolar"",'Data in Local Currency'!E16*GOOGLEFINANCE(""Currency:USDEUR""),
IF($D14=""Franco Suíço"",'Data in Local Currency'!E16*GOOGLEFINANCE(""Currency:CHFEUR""),
IF($D14=""Libra Esterlina"", 'Data "&amp;"in Local Currency'!E16*GOOGLEFINANCE(""Currency:GBPEUR""),
IF($D14=""Iene"",'Data in Local Currency'!E16*GOOGLEFINANCE(""Currency:JPYEUR""),
IF($D14=""HKD"",'Data in Local Currency'!E16*GOOGLEFINANCE(""Currency:HKDEUR""),
IF($D14=""KRW"",'Data in Local Cu"&amp;"rrency'!E16*GOOGLEFINANCE(""Currency:KRWEUR""),"""")))))))"),1.97)</f>
        <v>1.97</v>
      </c>
      <c r="M14" s="20">
        <f>'Data in Local Currency'!F16</f>
        <v>2002</v>
      </c>
      <c r="N14" s="15">
        <f>IFERROR(__xludf.DUMMYFUNCTION("IF($D14=""Euro"",'Data in Local Currency'!G16,
IF($D14=""Dolar"",'Data in Local Currency'!G16*GOOGLEFINANCE(""Currency:USDEUR""),
IF($D14=""Franco Suíço"",'Data in Local Currency'!G16*GOOGLEFINANCE(""Currency:CHFEUR""),
IF($D14=""Libra Esterlina"", 'Data "&amp;"in Local Currency'!G16*GOOGLEFINANCE(""Currency:GBPEUR""),
IF($D14=""Iene"",'Data in Local Currency'!G16*GOOGLEFINANCE(""Currency:JPYEUR""),
IF($D14=""HKD"",'Data in Local Currency'!G16*GOOGLEFINANCE(""Currency:HKDEUR""),
IF($D14=""KRW"",'Data in Local Cu"&amp;"rrency'!G16*GOOGLEFINANCE(""Currency:KRWEUR""),"""")))))))"),15.95)</f>
        <v>15.95</v>
      </c>
      <c r="O14" s="15">
        <v>13.7</v>
      </c>
      <c r="P14" s="11">
        <v>1.64</v>
      </c>
      <c r="Q14" s="17"/>
      <c r="R14" s="11" t="s">
        <v>27</v>
      </c>
      <c r="S14" s="17">
        <v>0.0</v>
      </c>
    </row>
    <row r="15">
      <c r="A15" s="11" t="s">
        <v>68</v>
      </c>
      <c r="B15" s="11" t="s">
        <v>69</v>
      </c>
      <c r="C15" s="11" t="s">
        <v>70</v>
      </c>
      <c r="D15" s="12" t="s">
        <v>26</v>
      </c>
      <c r="E15" s="11">
        <v>3.4</v>
      </c>
      <c r="F15" s="11">
        <v>2.4</v>
      </c>
      <c r="G15" s="11">
        <v>2.4</v>
      </c>
      <c r="H15" s="13"/>
      <c r="I15" s="11"/>
      <c r="J15" s="11"/>
      <c r="K15" s="14"/>
      <c r="L15" s="15">
        <f>IFERROR(__xludf.DUMMYFUNCTION("IF($D15=""Euro"",'Data in Local Currency'!E17,
IF($D15=""Dolar"",'Data in Local Currency'!E17*GOOGLEFINANCE(""Currency:USDEUR""),
IF($D15=""Franco Suíço"",'Data in Local Currency'!E17*GOOGLEFINANCE(""Currency:CHFEUR""),
IF($D15=""Libra Esterlina"", 'Data "&amp;"in Local Currency'!E17*GOOGLEFINANCE(""Currency:GBPEUR""),
IF($D15=""Iene"",'Data in Local Currency'!E17*GOOGLEFINANCE(""Currency:JPYEUR""),
IF($D15=""HKD"",'Data in Local Currency'!E17*GOOGLEFINANCE(""Currency:HKDEUR""),
IF($D15=""KRW"",'Data in Local Cu"&amp;"rrency'!E17*GOOGLEFINANCE(""Currency:KRWEUR""),"""")))))))"),2.9)</f>
        <v>2.9</v>
      </c>
      <c r="M15" s="20">
        <f>'Data in Local Currency'!F17</f>
        <v>1998</v>
      </c>
      <c r="N15" s="15">
        <f>IFERROR(__xludf.DUMMYFUNCTION("IF($D15=""Euro"",'Data in Local Currency'!G17,
IF($D15=""Dolar"",'Data in Local Currency'!G17*GOOGLEFINANCE(""Currency:USDEUR""),
IF($D15=""Franco Suíço"",'Data in Local Currency'!G17*GOOGLEFINANCE(""Currency:CHFEUR""),
IF($D15=""Libra Esterlina"", 'Data "&amp;"in Local Currency'!G17*GOOGLEFINANCE(""Currency:GBPEUR""),
IF($D15=""Iene"",'Data in Local Currency'!G17*GOOGLEFINANCE(""Currency:JPYEUR""),
IF($D15=""HKD"",'Data in Local Currency'!G17*GOOGLEFINANCE(""Currency:HKDEUR""),
IF($D15=""KRW"",'Data in Local Cu"&amp;"rrency'!G17*GOOGLEFINANCE(""Currency:KRWEUR""),"""")))))))"),97.05)</f>
        <v>97.05</v>
      </c>
      <c r="O15" s="15">
        <v>139.7</v>
      </c>
      <c r="P15" s="11">
        <v>2.93</v>
      </c>
      <c r="Q15" s="17">
        <v>0.42</v>
      </c>
      <c r="R15" s="11" t="s">
        <v>32</v>
      </c>
      <c r="S15" s="17"/>
    </row>
    <row r="16">
      <c r="A16" s="11" t="s">
        <v>71</v>
      </c>
      <c r="B16" s="11" t="s">
        <v>72</v>
      </c>
      <c r="C16" s="11" t="s">
        <v>73</v>
      </c>
      <c r="D16" s="12" t="s">
        <v>26</v>
      </c>
      <c r="E16" s="11">
        <v>3.7</v>
      </c>
      <c r="F16" s="11">
        <v>3.4</v>
      </c>
      <c r="G16" s="11">
        <v>3.0</v>
      </c>
      <c r="H16" s="13"/>
      <c r="I16" s="11"/>
      <c r="J16" s="11"/>
      <c r="K16" s="14"/>
      <c r="L16" s="15">
        <f>IFERROR(__xludf.DUMMYFUNCTION("IF($D16=""Euro"",'Data in Local Currency'!E18,
IF($D16=""Dolar"",'Data in Local Currency'!E18*GOOGLEFINANCE(""Currency:USDEUR""),
IF($D16=""Franco Suíço"",'Data in Local Currency'!E18*GOOGLEFINANCE(""Currency:CHFEUR""),
IF($D16=""Libra Esterlina"", 'Data "&amp;"in Local Currency'!E18*GOOGLEFINANCE(""Currency:GBPEUR""),
IF($D16=""Iene"",'Data in Local Currency'!E18*GOOGLEFINANCE(""Currency:JPYEUR""),
IF($D16=""HKD"",'Data in Local Currency'!E18*GOOGLEFINANCE(""Currency:HKDEUR""),
IF($D16=""KRW"",'Data in Local Cu"&amp;"rrency'!E18*GOOGLEFINANCE(""Currency:KRWEUR""),"""")))))))"),0.18)</f>
        <v>0.18</v>
      </c>
      <c r="M16" s="20">
        <f>'Data in Local Currency'!F18</f>
        <v>1997</v>
      </c>
      <c r="N16" s="15">
        <f>IFERROR(__xludf.DUMMYFUNCTION("IF($D16=""Euro"",'Data in Local Currency'!G18,
IF($D16=""Dolar"",'Data in Local Currency'!G18*GOOGLEFINANCE(""Currency:USDEUR""),
IF($D16=""Franco Suíço"",'Data in Local Currency'!G18*GOOGLEFINANCE(""Currency:CHFEUR""),
IF($D16=""Libra Esterlina"", 'Data "&amp;"in Local Currency'!G18*GOOGLEFINANCE(""Currency:GBPEUR""),
IF($D16=""Iene"",'Data in Local Currency'!G18*GOOGLEFINANCE(""Currency:JPYEUR""),
IF($D16=""HKD"",'Data in Local Currency'!G18*GOOGLEFINANCE(""Currency:HKDEUR""),
IF($D16=""KRW"",'Data in Local Cu"&amp;"rrency'!G18*GOOGLEFINANCE(""Currency:KRWEUR""),"""")))))))"),13.02)</f>
        <v>13.02</v>
      </c>
      <c r="O16" s="15">
        <v>14.16</v>
      </c>
      <c r="P16" s="11">
        <v>1.23</v>
      </c>
      <c r="Q16" s="17"/>
      <c r="R16" s="11" t="s">
        <v>27</v>
      </c>
      <c r="S16" s="17">
        <v>0.0</v>
      </c>
    </row>
    <row r="17">
      <c r="A17" s="11" t="s">
        <v>74</v>
      </c>
      <c r="B17" s="11" t="s">
        <v>75</v>
      </c>
      <c r="C17" s="11" t="s">
        <v>76</v>
      </c>
      <c r="D17" s="12" t="s">
        <v>26</v>
      </c>
      <c r="E17" s="11">
        <v>4.1</v>
      </c>
      <c r="F17" s="11">
        <v>4.1</v>
      </c>
      <c r="G17" s="11">
        <v>3.6</v>
      </c>
      <c r="H17" s="13"/>
      <c r="I17" s="11"/>
      <c r="J17" s="11"/>
      <c r="K17" s="14"/>
      <c r="L17" s="15">
        <f>IFERROR(__xludf.DUMMYFUNCTION("IF($D17=""Euro"",'Data in Local Currency'!E19,
IF($D17=""Dolar"",'Data in Local Currency'!E19*GOOGLEFINANCE(""Currency:USDEUR""),
IF($D17=""Franco Suíço"",'Data in Local Currency'!E19*GOOGLEFINANCE(""Currency:CHFEUR""),
IF($D17=""Libra Esterlina"", 'Data "&amp;"in Local Currency'!E19*GOOGLEFINANCE(""Currency:GBPEUR""),
IF($D17=""Iene"",'Data in Local Currency'!E19*GOOGLEFINANCE(""Currency:JPYEUR""),
IF($D17=""HKD"",'Data in Local Currency'!E19*GOOGLEFINANCE(""Currency:HKDEUR""),
IF($D17=""KRW"",'Data in Local Cu"&amp;"rrency'!E19*GOOGLEFINANCE(""Currency:KRWEUR""),"""")))))))"),36.13)</f>
        <v>36.13</v>
      </c>
      <c r="M17" s="20">
        <f>'Data in Local Currency'!F19</f>
        <v>2000</v>
      </c>
      <c r="N17" s="15">
        <f>IFERROR(__xludf.DUMMYFUNCTION("IF($D17=""Euro"",'Data in Local Currency'!G19,
IF($D17=""Dolar"",'Data in Local Currency'!G19*GOOGLEFINANCE(""Currency:USDEUR""),
IF($D17=""Franco Suíço"",'Data in Local Currency'!G19*GOOGLEFINANCE(""Currency:CHFEUR""),
IF($D17=""Libra Esterlina"", 'Data "&amp;"in Local Currency'!G19*GOOGLEFINANCE(""Currency:GBPEUR""),
IF($D17=""Iene"",'Data in Local Currency'!G19*GOOGLEFINANCE(""Currency:JPYEUR""),
IF($D17=""HKD"",'Data in Local Currency'!G19*GOOGLEFINANCE(""Currency:HKDEUR""),
IF($D17=""KRW"",'Data in Local Cu"&amp;"rrency'!G19*GOOGLEFINANCE(""Currency:KRWEUR""),"""")))))))"),49.55)</f>
        <v>49.55</v>
      </c>
      <c r="O17" s="15">
        <v>57.88</v>
      </c>
      <c r="P17" s="11">
        <v>44.16</v>
      </c>
      <c r="Q17" s="17">
        <v>6.44</v>
      </c>
      <c r="R17" s="11" t="s">
        <v>27</v>
      </c>
      <c r="S17" s="17">
        <v>6.0</v>
      </c>
    </row>
    <row r="18">
      <c r="A18" s="11" t="s">
        <v>77</v>
      </c>
      <c r="B18" s="11" t="s">
        <v>78</v>
      </c>
      <c r="C18" s="11" t="s">
        <v>79</v>
      </c>
      <c r="D18" s="12" t="s">
        <v>26</v>
      </c>
      <c r="E18" s="11">
        <v>4.1</v>
      </c>
      <c r="F18" s="11">
        <v>3.9</v>
      </c>
      <c r="G18" s="11">
        <v>3.5</v>
      </c>
      <c r="H18" s="13">
        <v>3.0</v>
      </c>
      <c r="I18" s="11">
        <v>75.0</v>
      </c>
      <c r="J18" s="11">
        <v>58.0</v>
      </c>
      <c r="K18" s="14">
        <v>60.0</v>
      </c>
      <c r="L18" s="15">
        <f>IFERROR(__xludf.DUMMYFUNCTION("IF($D18=""Euro"",'Data in Local Currency'!E20,
IF($D18=""Dolar"",'Data in Local Currency'!E20*GOOGLEFINANCE(""Currency:USDEUR""),
IF($D18=""Franco Suíço"",'Data in Local Currency'!E20*GOOGLEFINANCE(""Currency:CHFEUR""),
IF($D18=""Libra Esterlina"", 'Data "&amp;"in Local Currency'!E20*GOOGLEFINANCE(""Currency:GBPEUR""),
IF($D18=""Iene"",'Data in Local Currency'!E20*GOOGLEFINANCE(""Currency:JPYEUR""),
IF($D18=""HKD"",'Data in Local Currency'!E20*GOOGLEFINANCE(""Currency:HKDEUR""),
IF($D18=""KRW"",'Data in Local Cu"&amp;"rrency'!E20*GOOGLEFINANCE(""Currency:KRWEUR""),"""")))))))"),18.17)</f>
        <v>18.17</v>
      </c>
      <c r="M18" s="20">
        <f>'Data in Local Currency'!F20</f>
        <v>2000</v>
      </c>
      <c r="N18" s="15">
        <f>IFERROR(__xludf.DUMMYFUNCTION("IF($D18=""Euro"",'Data in Local Currency'!G20,
IF($D18=""Dolar"",'Data in Local Currency'!G20*GOOGLEFINANCE(""Currency:USDEUR""),
IF($D18=""Franco Suíço"",'Data in Local Currency'!G20*GOOGLEFINANCE(""Currency:CHFEUR""),
IF($D18=""Libra Esterlina"", 'Data "&amp;"in Local Currency'!G20*GOOGLEFINANCE(""Currency:GBPEUR""),
IF($D18=""Iene"",'Data in Local Currency'!G20*GOOGLEFINANCE(""Currency:JPYEUR""),
IF($D18=""HKD"",'Data in Local Currency'!G20*GOOGLEFINANCE(""Currency:HKDEUR""),
IF($D18=""KRW"",'Data in Local Cu"&amp;"rrency'!G20*GOOGLEFINANCE(""Currency:KRWEUR""),"""")))))))"),46.22)</f>
        <v>46.22</v>
      </c>
      <c r="O18" s="15">
        <v>36.92</v>
      </c>
      <c r="P18" s="11">
        <v>4.84</v>
      </c>
      <c r="Q18" s="17">
        <v>0.64</v>
      </c>
      <c r="R18" s="11" t="s">
        <v>32</v>
      </c>
      <c r="S18" s="17"/>
    </row>
    <row r="19">
      <c r="A19" s="11" t="s">
        <v>80</v>
      </c>
      <c r="B19" s="11" t="s">
        <v>81</v>
      </c>
      <c r="C19" s="11" t="s">
        <v>82</v>
      </c>
      <c r="D19" s="12" t="s">
        <v>26</v>
      </c>
      <c r="E19" s="11">
        <v>3.9</v>
      </c>
      <c r="F19" s="11">
        <v>3.6</v>
      </c>
      <c r="G19" s="11">
        <v>3.4</v>
      </c>
      <c r="H19" s="13"/>
      <c r="I19" s="11"/>
      <c r="J19" s="11"/>
      <c r="K19" s="14"/>
      <c r="L19" s="15">
        <f>IFERROR(__xludf.DUMMYFUNCTION("IF($D19=""Euro"",'Data in Local Currency'!E21,
IF($D19=""Dolar"",'Data in Local Currency'!E21*GOOGLEFINANCE(""Currency:USDEUR""),
IF($D19=""Franco Suíço"",'Data in Local Currency'!E21*GOOGLEFINANCE(""Currency:CHFEUR""),
IF($D19=""Libra Esterlina"", 'Data "&amp;"in Local Currency'!E21*GOOGLEFINANCE(""Currency:GBPEUR""),
IF($D19=""Iene"",'Data in Local Currency'!E21*GOOGLEFINANCE(""Currency:JPYEUR""),
IF($D19=""HKD"",'Data in Local Currency'!E21*GOOGLEFINANCE(""Currency:HKDEUR""),
IF($D19=""KRW"",'Data in Local Cu"&amp;"rrency'!E21*GOOGLEFINANCE(""Currency:KRWEUR""),"""")))))))"),23.35)</f>
        <v>23.35</v>
      </c>
      <c r="M19" s="20">
        <f>'Data in Local Currency'!F21</f>
        <v>2016</v>
      </c>
      <c r="N19" s="15">
        <f>IFERROR(__xludf.DUMMYFUNCTION("IF($D19=""Euro"",'Data in Local Currency'!G21,
IF($D19=""Dolar"",'Data in Local Currency'!G21*GOOGLEFINANCE(""Currency:USDEUR""),
IF($D19=""Franco Suíço"",'Data in Local Currency'!G21*GOOGLEFINANCE(""Currency:CHFEUR""),
IF($D19=""Libra Esterlina"", 'Data "&amp;"in Local Currency'!G21*GOOGLEFINANCE(""Currency:GBPEUR""),
IF($D19=""Iene"",'Data in Local Currency'!G21*GOOGLEFINANCE(""Currency:JPYEUR""),
IF($D19=""HKD"",'Data in Local Currency'!G21*GOOGLEFINANCE(""Currency:HKDEUR""),
IF($D19=""KRW"",'Data in Local Cu"&amp;"rrency'!G21*GOOGLEFINANCE(""Currency:KRWEUR""),"""")))))))"),66.49)</f>
        <v>66.49</v>
      </c>
      <c r="O19" s="15">
        <v>50.35</v>
      </c>
      <c r="P19" s="11">
        <v>0.94</v>
      </c>
      <c r="Q19" s="17">
        <v>0.02</v>
      </c>
      <c r="R19" s="11" t="s">
        <v>27</v>
      </c>
      <c r="S19" s="17">
        <v>0.0</v>
      </c>
    </row>
    <row r="20">
      <c r="A20" s="11" t="s">
        <v>83</v>
      </c>
      <c r="B20" s="11" t="s">
        <v>84</v>
      </c>
      <c r="C20" s="11" t="s">
        <v>85</v>
      </c>
      <c r="D20" s="12" t="s">
        <v>26</v>
      </c>
      <c r="E20" s="11">
        <v>2.8</v>
      </c>
      <c r="F20" s="11">
        <v>2.2</v>
      </c>
      <c r="G20" s="11">
        <v>2.3</v>
      </c>
      <c r="H20" s="13"/>
      <c r="I20" s="11"/>
      <c r="J20" s="11"/>
      <c r="K20" s="14"/>
      <c r="L20" s="15">
        <f>IFERROR(__xludf.DUMMYFUNCTION("IF($D20=""Euro"",'Data in Local Currency'!E22,
IF($D20=""Dolar"",'Data in Local Currency'!E22*GOOGLEFINANCE(""Currency:USDEUR""),
IF($D20=""Franco Suíço"",'Data in Local Currency'!E22*GOOGLEFINANCE(""Currency:CHFEUR""),
IF($D20=""Libra Esterlina"", 'Data "&amp;"in Local Currency'!E22*GOOGLEFINANCE(""Currency:GBPEUR""),
IF($D20=""Iene"",'Data in Local Currency'!E22*GOOGLEFINANCE(""Currency:JPYEUR""),
IF($D20=""HKD"",'Data in Local Currency'!E22*GOOGLEFINANCE(""Currency:HKDEUR""),
IF($D20=""KRW"",'Data in Local Cu"&amp;"rrency'!E22*GOOGLEFINANCE(""Currency:KRWEUR""),"""")))))))"),7.01)</f>
        <v>7.01</v>
      </c>
      <c r="M20" s="20">
        <f>'Data in Local Currency'!F22</f>
        <v>2000</v>
      </c>
      <c r="N20" s="15">
        <f>IFERROR(__xludf.DUMMYFUNCTION("IF($D20=""Euro"",'Data in Local Currency'!G22,
IF($D20=""Dolar"",'Data in Local Currency'!G22*GOOGLEFINANCE(""Currency:USDEUR""),
IF($D20=""Franco Suíço"",'Data in Local Currency'!G22*GOOGLEFINANCE(""Currency:CHFEUR""),
IF($D20=""Libra Esterlina"", 'Data "&amp;"in Local Currency'!G22*GOOGLEFINANCE(""Currency:GBPEUR""),
IF($D20=""Iene"",'Data in Local Currency'!G22*GOOGLEFINANCE(""Currency:JPYEUR""),
IF($D20=""HKD"",'Data in Local Currency'!G22*GOOGLEFINANCE(""Currency:HKDEUR""),
IF($D20=""KRW"",'Data in Local Cu"&amp;"rrency'!G22*GOOGLEFINANCE(""Currency:KRWEUR""),"""")))))))"),2.78)</f>
        <v>2.78</v>
      </c>
      <c r="O20" s="15">
        <v>2.83</v>
      </c>
      <c r="P20" s="11">
        <v>0.84</v>
      </c>
      <c r="Q20" s="17">
        <v>0.09</v>
      </c>
      <c r="R20" s="11" t="s">
        <v>27</v>
      </c>
      <c r="S20" s="17">
        <v>2.0</v>
      </c>
    </row>
    <row r="21">
      <c r="A21" s="21" t="s">
        <v>86</v>
      </c>
      <c r="B21" s="11" t="s">
        <v>87</v>
      </c>
      <c r="C21" s="11" t="s">
        <v>88</v>
      </c>
      <c r="D21" s="12" t="s">
        <v>26</v>
      </c>
      <c r="E21" s="11">
        <v>4.4</v>
      </c>
      <c r="F21" s="11">
        <v>4.1</v>
      </c>
      <c r="G21" s="11">
        <v>3.9</v>
      </c>
      <c r="H21" s="13">
        <v>2.8</v>
      </c>
      <c r="I21" s="11">
        <v>17.0</v>
      </c>
      <c r="J21" s="11">
        <v>78.0</v>
      </c>
      <c r="K21" s="14">
        <v>50.0</v>
      </c>
      <c r="L21" s="15">
        <f>IFERROR(__xludf.DUMMYFUNCTION("IF($D21=""Euro"",'Data in Local Currency'!E23,
IF($D21=""Dolar"",'Data in Local Currency'!E23*GOOGLEFINANCE(""Currency:USDEUR""),
IF($D21=""Franco Suíço"",'Data in Local Currency'!E23*GOOGLEFINANCE(""Currency:CHFEUR""),
IF($D21=""Libra Esterlina"", 'Data "&amp;"in Local Currency'!E23*GOOGLEFINANCE(""Currency:GBPEUR""),
IF($D21=""Iene"",'Data in Local Currency'!E23*GOOGLEFINANCE(""Currency:JPYEUR""),
IF($D21=""HKD"",'Data in Local Currency'!E23*GOOGLEFINANCE(""Currency:HKDEUR""),
IF($D21=""KRW"",'Data in Local Cu"&amp;"rrency'!E23*GOOGLEFINANCE(""Currency:KRWEUR""),"""")))))))"),216.89)</f>
        <v>216.89</v>
      </c>
      <c r="M21" s="20">
        <f>'Data in Local Currency'!F23</f>
        <v>1998</v>
      </c>
      <c r="N21" s="15">
        <f>IFERROR(__xludf.DUMMYFUNCTION("IF($D21=""Euro"",'Data in Local Currency'!G23,
IF($D21=""Dolar"",'Data in Local Currency'!G23*GOOGLEFINANCE(""Currency:USDEUR""),
IF($D21=""Franco Suíço"",'Data in Local Currency'!G23*GOOGLEFINANCE(""Currency:CHFEUR""),
IF($D21=""Libra Esterlina"", 'Data "&amp;"in Local Currency'!G23*GOOGLEFINANCE(""Currency:GBPEUR""),
IF($D21=""Iene"",'Data in Local Currency'!G23*GOOGLEFINANCE(""Currency:JPYEUR""),
IF($D21=""HKD"",'Data in Local Currency'!G23*GOOGLEFINANCE(""Currency:HKDEUR""),
IF($D21=""KRW"",'Data in Local Cu"&amp;"rrency'!G23*GOOGLEFINANCE(""Currency:KRWEUR""),"""")))))))"),175.95)</f>
        <v>175.95</v>
      </c>
      <c r="O21" s="15">
        <v>240.0</v>
      </c>
      <c r="P21" s="11">
        <v>70.24</v>
      </c>
      <c r="Q21" s="17"/>
      <c r="R21" s="11" t="s">
        <v>27</v>
      </c>
      <c r="S21" s="17">
        <v>0.0</v>
      </c>
    </row>
    <row r="22">
      <c r="A22" s="11" t="s">
        <v>89</v>
      </c>
      <c r="B22" s="11" t="s">
        <v>90</v>
      </c>
      <c r="C22" s="11" t="s">
        <v>91</v>
      </c>
      <c r="D22" s="12" t="s">
        <v>26</v>
      </c>
      <c r="E22" s="11">
        <v>3.7</v>
      </c>
      <c r="F22" s="11">
        <v>3.3</v>
      </c>
      <c r="G22" s="11">
        <v>3.2</v>
      </c>
      <c r="H22" s="13"/>
      <c r="I22" s="11"/>
      <c r="J22" s="11"/>
      <c r="K22" s="14"/>
      <c r="L22" s="15">
        <f>IFERROR(__xludf.DUMMYFUNCTION("IF($D22=""Euro"",'Data in Local Currency'!E24,
IF($D22=""Dolar"",'Data in Local Currency'!E24*GOOGLEFINANCE(""Currency:USDEUR""),
IF($D22=""Franco Suíço"",'Data in Local Currency'!E24*GOOGLEFINANCE(""Currency:CHFEUR""),
IF($D22=""Libra Esterlina"", 'Data "&amp;"in Local Currency'!E24*GOOGLEFINANCE(""Currency:GBPEUR""),
IF($D22=""Iene"",'Data in Local Currency'!E24*GOOGLEFINANCE(""Currency:JPYEUR""),
IF($D22=""HKD"",'Data in Local Currency'!E24*GOOGLEFINANCE(""Currency:HKDEUR""),
IF($D22=""KRW"",'Data in Local Cu"&amp;"rrency'!E24*GOOGLEFINANCE(""Currency:KRWEUR""),"""")))))))"),74.0)</f>
        <v>74</v>
      </c>
      <c r="M22" s="20">
        <f>'Data in Local Currency'!F24</f>
        <v>2015</v>
      </c>
      <c r="N22" s="15">
        <f>IFERROR(__xludf.DUMMYFUNCTION("IF($D22=""Euro"",'Data in Local Currency'!G24,
IF($D22=""Dolar"",'Data in Local Currency'!G24*GOOGLEFINANCE(""Currency:USDEUR""),
IF($D22=""Franco Suíço"",'Data in Local Currency'!G24*GOOGLEFINANCE(""Currency:CHFEUR""),
IF($D22=""Libra Esterlina"", 'Data "&amp;"in Local Currency'!G24*GOOGLEFINANCE(""Currency:GBPEUR""),
IF($D22=""Iene"",'Data in Local Currency'!G24*GOOGLEFINANCE(""Currency:JPYEUR""),
IF($D22=""HKD"",'Data in Local Currency'!G24*GOOGLEFINANCE(""Currency:HKDEUR""),
IF($D22=""KRW"",'Data in Local Cu"&amp;"rrency'!G24*GOOGLEFINANCE(""Currency:KRWEUR""),"""")))))))"),162.0)</f>
        <v>162</v>
      </c>
      <c r="O22" s="15">
        <v>145.15</v>
      </c>
      <c r="P22" s="11">
        <v>2.32</v>
      </c>
      <c r="Q22" s="17">
        <v>0.82</v>
      </c>
      <c r="R22" s="11" t="s">
        <v>27</v>
      </c>
      <c r="S22" s="17">
        <v>0.0</v>
      </c>
    </row>
    <row r="23">
      <c r="A23" s="11" t="s">
        <v>92</v>
      </c>
      <c r="B23" s="11" t="s">
        <v>93</v>
      </c>
      <c r="C23" s="11" t="s">
        <v>94</v>
      </c>
      <c r="D23" s="12" t="s">
        <v>26</v>
      </c>
      <c r="E23" s="11">
        <v>3.5</v>
      </c>
      <c r="F23" s="11">
        <v>3.9</v>
      </c>
      <c r="G23" s="11">
        <v>4.0</v>
      </c>
      <c r="H23" s="13"/>
      <c r="I23" s="11"/>
      <c r="J23" s="11"/>
      <c r="K23" s="14"/>
      <c r="L23" s="15">
        <f>IFERROR(__xludf.DUMMYFUNCTION("IF($D23=""Euro"",'Data in Local Currency'!E25,
IF($D23=""Dolar"",'Data in Local Currency'!E25*GOOGLEFINANCE(""Currency:USDEUR""),
IF($D23=""Franco Suíço"",'Data in Local Currency'!E25*GOOGLEFINANCE(""Currency:CHFEUR""),
IF($D23=""Libra Esterlina"", 'Data "&amp;"in Local Currency'!E25*GOOGLEFINANCE(""Currency:GBPEUR""),
IF($D23=""Iene"",'Data in Local Currency'!E25*GOOGLEFINANCE(""Currency:JPYEUR""),
IF($D23=""HKD"",'Data in Local Currency'!E25*GOOGLEFINANCE(""Currency:HKDEUR""),
IF($D23=""KRW"",'Data in Local Cu"&amp;"rrency'!E25*GOOGLEFINANCE(""Currency:KRWEUR""),"""")))))))"),9.35)</f>
        <v>9.35</v>
      </c>
      <c r="M23" s="20">
        <f>'Data in Local Currency'!F25</f>
        <v>2000</v>
      </c>
      <c r="N23" s="15">
        <f>IFERROR(__xludf.DUMMYFUNCTION("IF($D23=""Euro"",'Data in Local Currency'!G25,
IF($D23=""Dolar"",'Data in Local Currency'!G25*GOOGLEFINANCE(""Currency:USDEUR""),
IF($D23=""Franco Suíço"",'Data in Local Currency'!G25*GOOGLEFINANCE(""Currency:CHFEUR""),
IF($D23=""Libra Esterlina"", 'Data "&amp;"in Local Currency'!G25*GOOGLEFINANCE(""Currency:GBPEUR""),
IF($D23=""Iene"",'Data in Local Currency'!G25*GOOGLEFINANCE(""Currency:JPYEUR""),
IF($D23=""HKD"",'Data in Local Currency'!G25*GOOGLEFINANCE(""Currency:HKDEUR""),
IF($D23=""KRW"",'Data in Local Cu"&amp;"rrency'!G25*GOOGLEFINANCE(""Currency:KRWEUR""),"""")))))))"),11.0)</f>
        <v>11</v>
      </c>
      <c r="O23" s="15">
        <v>10.1</v>
      </c>
      <c r="P23" s="11">
        <v>0.84</v>
      </c>
      <c r="Q23" s="17"/>
      <c r="R23" s="11" t="s">
        <v>27</v>
      </c>
      <c r="S23" s="17">
        <v>0.0</v>
      </c>
    </row>
    <row r="24">
      <c r="A24" s="11" t="s">
        <v>95</v>
      </c>
      <c r="B24" s="11" t="s">
        <v>96</v>
      </c>
      <c r="C24" s="11" t="s">
        <v>97</v>
      </c>
      <c r="D24" s="12" t="s">
        <v>26</v>
      </c>
      <c r="E24" s="11">
        <v>4.0</v>
      </c>
      <c r="F24" s="11">
        <v>3.8</v>
      </c>
      <c r="G24" s="11">
        <v>3.5</v>
      </c>
      <c r="H24" s="13">
        <v>4.5</v>
      </c>
      <c r="I24" s="11">
        <v>16.0</v>
      </c>
      <c r="J24" s="11">
        <v>77.0</v>
      </c>
      <c r="K24" s="14">
        <v>82.0</v>
      </c>
      <c r="L24" s="15">
        <f>IFERROR(__xludf.DUMMYFUNCTION("IF($D24=""Euro"",'Data in Local Currency'!E26,
IF($D24=""Dolar"",'Data in Local Currency'!E26*GOOGLEFINANCE(""Currency:USDEUR""),
IF($D24=""Franco Suíço"",'Data in Local Currency'!E26*GOOGLEFINANCE(""Currency:CHFEUR""),
IF($D24=""Libra Esterlina"", 'Data "&amp;"in Local Currency'!E26*GOOGLEFINANCE(""Currency:GBPEUR""),
IF($D24=""Iene"",'Data in Local Currency'!E26*GOOGLEFINANCE(""Currency:JPYEUR""),
IF($D24=""HKD"",'Data in Local Currency'!E26*GOOGLEFINANCE(""Currency:HKDEUR""),
IF($D24=""KRW"",'Data in Local Cu"&amp;"rrency'!E26*GOOGLEFINANCE(""Currency:KRWEUR""),"""")))))))"),7.19)</f>
        <v>7.19</v>
      </c>
      <c r="M24" s="20">
        <f>'Data in Local Currency'!F26</f>
        <v>2000</v>
      </c>
      <c r="N24" s="15">
        <f>IFERROR(__xludf.DUMMYFUNCTION("IF($D24=""Euro"",'Data in Local Currency'!G26,
IF($D24=""Dolar"",'Data in Local Currency'!G26*GOOGLEFINANCE(""Currency:USDEUR""),
IF($D24=""Franco Suíço"",'Data in Local Currency'!G26*GOOGLEFINANCE(""Currency:CHFEUR""),
IF($D24=""Libra Esterlina"", 'Data "&amp;"in Local Currency'!G26*GOOGLEFINANCE(""Currency:GBPEUR""),
IF($D24=""Iene"",'Data in Local Currency'!G26*GOOGLEFINANCE(""Currency:JPYEUR""),
IF($D24=""HKD"",'Data in Local Currency'!G26*GOOGLEFINANCE(""Currency:HKDEUR""),
IF($D24=""KRW"",'Data in Local Cu"&amp;"rrency'!G26*GOOGLEFINANCE(""Currency:KRWEUR""),"""")))))))"),86.61)</f>
        <v>86.61</v>
      </c>
      <c r="O24" s="15">
        <v>94.04</v>
      </c>
      <c r="P24" s="11">
        <v>37.76</v>
      </c>
      <c r="Q24" s="17">
        <v>11.8</v>
      </c>
      <c r="R24" s="11" t="s">
        <v>27</v>
      </c>
      <c r="S24" s="17">
        <v>4.0</v>
      </c>
    </row>
    <row r="25">
      <c r="A25" s="11" t="s">
        <v>98</v>
      </c>
      <c r="B25" s="11" t="s">
        <v>99</v>
      </c>
      <c r="C25" s="11" t="s">
        <v>100</v>
      </c>
      <c r="D25" s="12" t="s">
        <v>26</v>
      </c>
      <c r="E25" s="11">
        <v>4.1</v>
      </c>
      <c r="F25" s="11">
        <v>4.0</v>
      </c>
      <c r="G25" s="11">
        <v>3.6</v>
      </c>
      <c r="H25" s="13">
        <v>4.1</v>
      </c>
      <c r="I25" s="11">
        <v>16.0</v>
      </c>
      <c r="J25" s="11">
        <v>77.0</v>
      </c>
      <c r="K25" s="14">
        <v>70.0</v>
      </c>
      <c r="L25" s="15">
        <f>IFERROR(__xludf.DUMMYFUNCTION("IF($D25=""Euro"",'Data in Local Currency'!E27,
IF($D25=""Dolar"",'Data in Local Currency'!E27*GOOGLEFINANCE(""Currency:USDEUR""),
IF($D25=""Franco Suíço"",'Data in Local Currency'!E27*GOOGLEFINANCE(""Currency:CHFEUR""),
IF($D25=""Libra Esterlina"", 'Data "&amp;"in Local Currency'!E27*GOOGLEFINANCE(""Currency:GBPEUR""),
IF($D25=""Iene"",'Data in Local Currency'!E27*GOOGLEFINANCE(""Currency:JPYEUR""),
IF($D25=""HKD"",'Data in Local Currency'!E27*GOOGLEFINANCE(""Currency:HKDEUR""),
IF($D25=""KRW"",'Data in Local Cu"&amp;"rrency'!E27*GOOGLEFINANCE(""Currency:KRWEUR""),"""")))))))"),1.88)</f>
        <v>1.88</v>
      </c>
      <c r="M25" s="20">
        <f>'Data in Local Currency'!F27</f>
        <v>1995</v>
      </c>
      <c r="N25" s="15">
        <f>IFERROR(__xludf.DUMMYFUNCTION("IF($D25=""Euro"",'Data in Local Currency'!G27,
IF($D25=""Dolar"",'Data in Local Currency'!G27*GOOGLEFINANCE(""Currency:USDEUR""),
IF($D25=""Franco Suíço"",'Data in Local Currency'!G27*GOOGLEFINANCE(""Currency:CHFEUR""),
IF($D25=""Libra Esterlina"", 'Data "&amp;"in Local Currency'!G27*GOOGLEFINANCE(""Currency:GBPEUR""),
IF($D25=""Iene"",'Data in Local Currency'!G27*GOOGLEFINANCE(""Currency:JPYEUR""),
IF($D25=""HKD"",'Data in Local Currency'!G27*GOOGLEFINANCE(""Currency:HKDEUR""),
IF($D25=""KRW"",'Data in Local Cu"&amp;"rrency'!G27*GOOGLEFINANCE(""Currency:KRWEUR""),"""")))))))"),31.19)</f>
        <v>31.19</v>
      </c>
      <c r="O25" s="15">
        <v>28.28</v>
      </c>
      <c r="P25" s="11">
        <v>17.16</v>
      </c>
      <c r="Q25" s="17">
        <v>1.85</v>
      </c>
      <c r="R25" s="11" t="s">
        <v>27</v>
      </c>
      <c r="S25" s="17">
        <v>6.0</v>
      </c>
    </row>
    <row r="26">
      <c r="A26" s="11" t="s">
        <v>101</v>
      </c>
      <c r="B26" s="11" t="s">
        <v>102</v>
      </c>
      <c r="C26" s="11" t="s">
        <v>103</v>
      </c>
      <c r="D26" s="12" t="s">
        <v>104</v>
      </c>
      <c r="E26" s="11">
        <v>3.3</v>
      </c>
      <c r="F26" s="11">
        <v>3.1</v>
      </c>
      <c r="G26" s="11">
        <v>2.7</v>
      </c>
      <c r="H26" s="13"/>
      <c r="I26" s="11"/>
      <c r="J26" s="11"/>
      <c r="K26" s="14"/>
      <c r="L26" s="15">
        <f>IFERROR(__xludf.DUMMYFUNCTION("IF($D26=""Euro"",'Data in Local Currency'!E28,
IF($D26=""Dolar"",'Data in Local Currency'!E28*GOOGLEFINANCE(""Currency:USDEUR""),
IF($D26=""Franco Suíço"",'Data in Local Currency'!E28*GOOGLEFINANCE(""Currency:CHFEUR""),
IF($D26=""Libra Esterlina"", 'Data "&amp;"in Local Currency'!E28*GOOGLEFINANCE(""Currency:GBPEUR""),
IF($D26=""Iene"",'Data in Local Currency'!E28*GOOGLEFINANCE(""Currency:JPYEUR""),
IF($D26=""HKD"",'Data in Local Currency'!E28*GOOGLEFINANCE(""Currency:HKDEUR""),
IF($D26=""KRW"",'Data in Local Cu"&amp;"rrency'!E28*GOOGLEFINANCE(""Currency:KRWEUR""),"""")))))))"),441.71072254848)</f>
        <v>441.7107225</v>
      </c>
      <c r="M26" s="20">
        <f>'Data in Local Currency'!F28</f>
        <v>2006</v>
      </c>
      <c r="N26" s="15">
        <f>IFERROR(__xludf.DUMMYFUNCTION("IF($D26=""Euro"",'Data in Local Currency'!G28,
IF($D26=""Dolar"",'Data in Local Currency'!G28*GOOGLEFINANCE(""Currency:USDEUR""),
IF($D26=""Franco Suíço"",'Data in Local Currency'!G28*GOOGLEFINANCE(""Currency:CHFEUR""),
IF($D26=""Libra Esterlina"", 'Data "&amp;"in Local Currency'!G28*GOOGLEFINANCE(""Currency:GBPEUR""),
IF($D26=""Iene"",'Data in Local Currency'!G28*GOOGLEFINANCE(""Currency:JPYEUR""),
IF($D26=""HKD"",'Data in Local Currency'!G28*GOOGLEFINANCE(""Currency:HKDEUR""),
IF($D26=""KRW"",'Data in Local Cu"&amp;"rrency'!G28*GOOGLEFINANCE(""Currency:KRWEUR""),"""")))))))"),500.06280596876996)</f>
        <v>500.062806</v>
      </c>
      <c r="O26" s="15">
        <v>244.36</v>
      </c>
      <c r="P26" s="11">
        <v>2.15</v>
      </c>
      <c r="Q26" s="17"/>
      <c r="R26" s="11" t="s">
        <v>32</v>
      </c>
      <c r="S26" s="17"/>
    </row>
    <row r="27">
      <c r="A27" s="11" t="s">
        <v>105</v>
      </c>
      <c r="B27" s="11" t="s">
        <v>106</v>
      </c>
      <c r="C27" s="11" t="s">
        <v>107</v>
      </c>
      <c r="D27" s="12" t="s">
        <v>61</v>
      </c>
      <c r="E27" s="11">
        <v>4.3</v>
      </c>
      <c r="F27" s="11">
        <v>4.2</v>
      </c>
      <c r="G27" s="11">
        <v>3.7</v>
      </c>
      <c r="H27" s="13">
        <v>4.5</v>
      </c>
      <c r="I27" s="11">
        <v>52.0</v>
      </c>
      <c r="J27" s="11">
        <v>82.0</v>
      </c>
      <c r="K27" s="14">
        <v>73.0</v>
      </c>
      <c r="L27" s="15">
        <f>IFERROR(__xludf.DUMMYFUNCTION("IF($D27=""Euro"",'Data in Local Currency'!E29,
IF($D27=""Dolar"",'Data in Local Currency'!E29*GOOGLEFINANCE(""Currency:USDEUR""),
IF($D27=""Franco Suíço"",'Data in Local Currency'!E29*GOOGLEFINANCE(""Currency:CHFEUR""),
IF($D27=""Libra Esterlina"", 'Data "&amp;"in Local Currency'!E29*GOOGLEFINANCE(""Currency:GBPEUR""),
IF($D27=""Iene"",'Data in Local Currency'!E29*GOOGLEFINANCE(""Currency:JPYEUR""),
IF($D27=""HKD"",'Data in Local Currency'!E29*GOOGLEFINANCE(""Currency:HKDEUR""),
IF($D27=""KRW"",'Data in Local Cu"&amp;"rrency'!E29*GOOGLEFINANCE(""Currency:KRWEUR""),"""")))))))"),76.16234342399999)</f>
        <v>76.16234342</v>
      </c>
      <c r="M27" s="20">
        <f>'Data in Local Currency'!F29</f>
        <v>1995</v>
      </c>
      <c r="N27" s="15">
        <f>IFERROR(__xludf.DUMMYFUNCTION("IF($D27=""Euro"",'Data in Local Currency'!G29,
IF($D27=""Dolar"",'Data in Local Currency'!G29*GOOGLEFINANCE(""Currency:USDEUR""),
IF($D27=""Franco Suíço"",'Data in Local Currency'!G29*GOOGLEFINANCE(""Currency:CHFEUR""),
IF($D27=""Libra Esterlina"", 'Data "&amp;"in Local Currency'!G29*GOOGLEFINANCE(""Currency:GBPEUR""),
IF($D27=""Iene"",'Data in Local Currency'!G29*GOOGLEFINANCE(""Currency:JPYEUR""),
IF($D27=""HKD"",'Data in Local Currency'!G29*GOOGLEFINANCE(""Currency:HKDEUR""),
IF($D27=""KRW"",'Data in Local Cu"&amp;"rrency'!G29*GOOGLEFINANCE(""Currency:KRWEUR""),"""")))))))"),256.27013952)</f>
        <v>256.2701395</v>
      </c>
      <c r="O27" s="15">
        <v>355.21</v>
      </c>
      <c r="P27" s="11">
        <v>61.14</v>
      </c>
      <c r="Q27" s="17">
        <v>21.16</v>
      </c>
      <c r="R27" s="11" t="s">
        <v>27</v>
      </c>
      <c r="S27" s="17">
        <v>0.0</v>
      </c>
    </row>
    <row r="28">
      <c r="A28" s="11" t="s">
        <v>108</v>
      </c>
      <c r="B28" s="11" t="s">
        <v>109</v>
      </c>
      <c r="C28" s="11" t="s">
        <v>110</v>
      </c>
      <c r="D28" s="12" t="s">
        <v>26</v>
      </c>
      <c r="E28" s="11">
        <v>3.3</v>
      </c>
      <c r="F28" s="11">
        <v>2.6</v>
      </c>
      <c r="G28" s="11">
        <v>3.0</v>
      </c>
      <c r="H28" s="13"/>
      <c r="I28" s="11"/>
      <c r="J28" s="11"/>
      <c r="K28" s="14"/>
      <c r="L28" s="15">
        <f>IFERROR(__xludf.DUMMYFUNCTION("IF($D28=""Euro"",'Data in Local Currency'!E30,
IF($D28=""Dolar"",'Data in Local Currency'!E30*GOOGLEFINANCE(""Currency:USDEUR""),
IF($D28=""Franco Suíço"",'Data in Local Currency'!E30*GOOGLEFINANCE(""Currency:CHFEUR""),
IF($D28=""Libra Esterlina"", 'Data "&amp;"in Local Currency'!E30*GOOGLEFINANCE(""Currency:GBPEUR""),
IF($D28=""Iene"",'Data in Local Currency'!E30*GOOGLEFINANCE(""Currency:JPYEUR""),
IF($D28=""HKD"",'Data in Local Currency'!E30*GOOGLEFINANCE(""Currency:HKDEUR""),
IF($D28=""KRW"",'Data in Local Cu"&amp;"rrency'!E30*GOOGLEFINANCE(""Currency:KRWEUR""),"""")))))))"),9.35)</f>
        <v>9.35</v>
      </c>
      <c r="M28" s="20">
        <f>'Data in Local Currency'!F30</f>
        <v>2000</v>
      </c>
      <c r="N28" s="15">
        <f>IFERROR(__xludf.DUMMYFUNCTION("IF($D28=""Euro"",'Data in Local Currency'!G30,
IF($D28=""Dolar"",'Data in Local Currency'!G30*GOOGLEFINANCE(""Currency:USDEUR""),
IF($D28=""Franco Suíço"",'Data in Local Currency'!G30*GOOGLEFINANCE(""Currency:CHFEUR""),
IF($D28=""Libra Esterlina"", 'Data "&amp;"in Local Currency'!G30*GOOGLEFINANCE(""Currency:GBPEUR""),
IF($D28=""Iene"",'Data in Local Currency'!G30*GOOGLEFINANCE(""Currency:JPYEUR""),
IF($D28=""HKD"",'Data in Local Currency'!G30*GOOGLEFINANCE(""Currency:HKDEUR""),
IF($D28=""KRW"",'Data in Local Cu"&amp;"rrency'!G30*GOOGLEFINANCE(""Currency:KRWEUR""),"""")))))))"),12.82)</f>
        <v>12.82</v>
      </c>
      <c r="O28" s="15">
        <v>10.72</v>
      </c>
      <c r="P28" s="11">
        <v>6.71</v>
      </c>
      <c r="Q28" s="17">
        <v>0.99</v>
      </c>
      <c r="R28" s="11" t="s">
        <v>27</v>
      </c>
      <c r="S28" s="17">
        <v>0.0</v>
      </c>
    </row>
    <row r="29">
      <c r="A29" s="11" t="s">
        <v>111</v>
      </c>
      <c r="B29" s="11" t="s">
        <v>112</v>
      </c>
      <c r="C29" s="11" t="s">
        <v>113</v>
      </c>
      <c r="D29" s="12" t="s">
        <v>26</v>
      </c>
      <c r="E29" s="11">
        <v>3.9</v>
      </c>
      <c r="F29" s="11">
        <v>3.5</v>
      </c>
      <c r="G29" s="11">
        <v>3.2</v>
      </c>
      <c r="H29" s="13"/>
      <c r="I29" s="11"/>
      <c r="J29" s="11"/>
      <c r="K29" s="14"/>
      <c r="L29" s="15">
        <f>IFERROR(__xludf.DUMMYFUNCTION("IF($D29=""Euro"",'Data in Local Currency'!E31,
IF($D29=""Dolar"",'Data in Local Currency'!E31*GOOGLEFINANCE(""Currency:USDEUR""),
IF($D29=""Franco Suíço"",'Data in Local Currency'!E31*GOOGLEFINANCE(""Currency:CHFEUR""),
IF($D29=""Libra Esterlina"", 'Data "&amp;"in Local Currency'!E31*GOOGLEFINANCE(""Currency:GBPEUR""),
IF($D29=""Iene"",'Data in Local Currency'!E31*GOOGLEFINANCE(""Currency:JPYEUR""),
IF($D29=""HKD"",'Data in Local Currency'!E31*GOOGLEFINANCE(""Currency:HKDEUR""),
IF($D29=""KRW"",'Data in Local Cu"&amp;"rrency'!E31*GOOGLEFINANCE(""Currency:KRWEUR""),"""")))))))"),11.8)</f>
        <v>11.8</v>
      </c>
      <c r="M29" s="20">
        <f>'Data in Local Currency'!F31</f>
        <v>2000</v>
      </c>
      <c r="N29" s="15">
        <f>IFERROR(__xludf.DUMMYFUNCTION("IF($D29=""Euro"",'Data in Local Currency'!G31,
IF($D29=""Dolar"",'Data in Local Currency'!G31*GOOGLEFINANCE(""Currency:USDEUR""),
IF($D29=""Franco Suíço"",'Data in Local Currency'!G31*GOOGLEFINANCE(""Currency:CHFEUR""),
IF($D29=""Libra Esterlina"", 'Data "&amp;"in Local Currency'!G31*GOOGLEFINANCE(""Currency:GBPEUR""),
IF($D29=""Iene"",'Data in Local Currency'!G31*GOOGLEFINANCE(""Currency:JPYEUR""),
IF($D29=""HKD"",'Data in Local Currency'!G31*GOOGLEFINANCE(""Currency:HKDEUR""),
IF($D29=""KRW"",'Data in Local Cu"&amp;"rrency'!G31*GOOGLEFINANCE(""Currency:KRWEUR""),"""")))))))"),41.42)</f>
        <v>41.42</v>
      </c>
      <c r="O29" s="15">
        <v>28.05</v>
      </c>
      <c r="P29" s="11">
        <v>1.23</v>
      </c>
      <c r="Q29" s="17">
        <v>0.67</v>
      </c>
      <c r="R29" s="11" t="s">
        <v>32</v>
      </c>
      <c r="S29" s="17"/>
    </row>
    <row r="30">
      <c r="A30" s="11" t="s">
        <v>114</v>
      </c>
      <c r="B30" s="11" t="s">
        <v>115</v>
      </c>
      <c r="C30" s="11" t="s">
        <v>116</v>
      </c>
      <c r="D30" s="12" t="s">
        <v>31</v>
      </c>
      <c r="E30" s="11">
        <v>4.0</v>
      </c>
      <c r="F30" s="11">
        <v>3.9</v>
      </c>
      <c r="G30" s="11">
        <v>3.6</v>
      </c>
      <c r="H30" s="13">
        <v>3.8</v>
      </c>
      <c r="I30" s="11">
        <v>22.0</v>
      </c>
      <c r="J30" s="11">
        <v>80.0</v>
      </c>
      <c r="K30" s="14">
        <v>71.0</v>
      </c>
      <c r="L30" s="15">
        <f>IFERROR(__xludf.DUMMYFUNCTION("IF($D30=""Euro"",'Data in Local Currency'!E32,
IF($D30=""Dolar"",'Data in Local Currency'!E32*GOOGLEFINANCE(""Currency:USDEUR""),
IF($D30=""Franco Suíço"",'Data in Local Currency'!E32*GOOGLEFINANCE(""Currency:CHFEUR""),
IF($D30=""Libra Esterlina"", 'Data "&amp;"in Local Currency'!E32*GOOGLEFINANCE(""Currency:GBPEUR""),
IF($D30=""Iene"",'Data in Local Currency'!E32*GOOGLEFINANCE(""Currency:JPYEUR""),
IF($D30=""HKD"",'Data in Local Currency'!E32*GOOGLEFINANCE(""Currency:HKDEUR""),
IF($D30=""KRW"",'Data in Local Cu"&amp;"rrency'!E32*GOOGLEFINANCE(""Currency:KRWEUR""),"""")))))))"),5.803938)</f>
        <v>5.803938</v>
      </c>
      <c r="M30" s="20">
        <f>'Data in Local Currency'!F32</f>
        <v>2004</v>
      </c>
      <c r="N30" s="15">
        <f>IFERROR(__xludf.DUMMYFUNCTION("IF($D30=""Euro"",'Data in Local Currency'!G32,
IF($D30=""Dolar"",'Data in Local Currency'!G32*GOOGLEFINANCE(""Currency:USDEUR""),
IF($D30=""Franco Suíço"",'Data in Local Currency'!G32*GOOGLEFINANCE(""Currency:CHFEUR""),
IF($D30=""Libra Esterlina"", 'Data "&amp;"in Local Currency'!G32*GOOGLEFINANCE(""Currency:GBPEUR""),
IF($D30=""Iene"",'Data in Local Currency'!G32*GOOGLEFINANCE(""Currency:JPYEUR""),
IF($D30=""HKD"",'Data in Local Currency'!G32*GOOGLEFINANCE(""Currency:HKDEUR""),
IF($D30=""KRW"",'Data in Local Cu"&amp;"rrency'!G32*GOOGLEFINANCE(""Currency:KRWEUR""),"""")))))))"),32.938038)</f>
        <v>32.938038</v>
      </c>
      <c r="O30" s="15">
        <v>81.43</v>
      </c>
      <c r="P30" s="11">
        <v>25.27</v>
      </c>
      <c r="Q30" s="17"/>
      <c r="R30" s="11" t="s">
        <v>27</v>
      </c>
      <c r="S30" s="17">
        <v>2.0</v>
      </c>
    </row>
    <row r="31">
      <c r="A31" s="11" t="s">
        <v>117</v>
      </c>
      <c r="B31" s="11" t="s">
        <v>118</v>
      </c>
      <c r="C31" s="11" t="s">
        <v>119</v>
      </c>
      <c r="D31" s="12" t="s">
        <v>31</v>
      </c>
      <c r="E31" s="11">
        <v>4.1</v>
      </c>
      <c r="F31" s="11">
        <v>4.0</v>
      </c>
      <c r="G31" s="11">
        <v>3.6</v>
      </c>
      <c r="H31" s="13">
        <v>4.4</v>
      </c>
      <c r="I31" s="11">
        <v>29.0</v>
      </c>
      <c r="J31" s="11">
        <v>82.0</v>
      </c>
      <c r="K31" s="14">
        <v>70.0</v>
      </c>
      <c r="L31" s="15">
        <f>IFERROR(__xludf.DUMMYFUNCTION("IF($D31=""Euro"",'Data in Local Currency'!E33,
IF($D31=""Dolar"",'Data in Local Currency'!E33*GOOGLEFINANCE(""Currency:USDEUR""),
IF($D31=""Franco Suíço"",'Data in Local Currency'!E33*GOOGLEFINANCE(""Currency:CHFEUR""),
IF($D31=""Libra Esterlina"", 'Data "&amp;"in Local Currency'!E33*GOOGLEFINANCE(""Currency:GBPEUR""),
IF($D31=""Iene"",'Data in Local Currency'!E33*GOOGLEFINANCE(""Currency:JPYEUR""),
IF($D31=""HKD"",'Data in Local Currency'!E33*GOOGLEFINANCE(""Currency:HKDEUR""),
IF($D31=""KRW"",'Data in Local Cu"&amp;"rrency'!E33*GOOGLEFINANCE(""Currency:KRWEUR""),"""")))))))"),0.43230599999999997)</f>
        <v>0.432306</v>
      </c>
      <c r="M31" s="20">
        <f>'Data in Local Currency'!F33</f>
        <v>1984</v>
      </c>
      <c r="N31" s="15">
        <f>IFERROR(__xludf.DUMMYFUNCTION("IF($D31=""Euro"",'Data in Local Currency'!G33,
IF($D31=""Dolar"",'Data in Local Currency'!G33*GOOGLEFINANCE(""Currency:USDEUR""),
IF($D31=""Franco Suíço"",'Data in Local Currency'!G33*GOOGLEFINANCE(""Currency:CHFEUR""),
IF($D31=""Libra Esterlina"", 'Data "&amp;"in Local Currency'!G33*GOOGLEFINANCE(""Currency:GBPEUR""),
IF($D31=""Iene"",'Data in Local Currency'!G33*GOOGLEFINANCE(""Currency:JPYEUR""),
IF($D31=""HKD"",'Data in Local Currency'!G33*GOOGLEFINANCE(""Currency:HKDEUR""),
IF($D31=""KRW"",'Data in Local Cu"&amp;"rrency'!G33*GOOGLEFINANCE(""Currency:KRWEUR""),"""")))))))"),76.426182)</f>
        <v>76.426182</v>
      </c>
      <c r="O31" s="15">
        <v>98.3</v>
      </c>
      <c r="P31" s="11">
        <v>27.43</v>
      </c>
      <c r="Q31" s="17">
        <v>7.5</v>
      </c>
      <c r="R31" s="11" t="s">
        <v>32</v>
      </c>
      <c r="S31" s="17"/>
    </row>
    <row r="32">
      <c r="A32" s="11" t="s">
        <v>120</v>
      </c>
      <c r="B32" s="11" t="s">
        <v>121</v>
      </c>
      <c r="C32" s="11" t="s">
        <v>122</v>
      </c>
      <c r="D32" s="12" t="s">
        <v>26</v>
      </c>
      <c r="E32" s="11">
        <v>3.8</v>
      </c>
      <c r="F32" s="11">
        <v>3.8</v>
      </c>
      <c r="G32" s="11">
        <v>3.4</v>
      </c>
      <c r="H32" s="13">
        <v>3.3</v>
      </c>
      <c r="I32" s="11">
        <v>34.0</v>
      </c>
      <c r="J32" s="11">
        <v>60.0</v>
      </c>
      <c r="K32" s="14">
        <v>67.0</v>
      </c>
      <c r="L32" s="15">
        <f>IFERROR(__xludf.DUMMYFUNCTION("IF($D32=""Euro"",'Data in Local Currency'!E34,
IF($D32=""Dolar"",'Data in Local Currency'!E34*GOOGLEFINANCE(""Currency:USDEUR""),
IF($D32=""Franco Suíço"",'Data in Local Currency'!E34*GOOGLEFINANCE(""Currency:CHFEUR""),
IF($D32=""Libra Esterlina"", 'Data "&amp;"in Local Currency'!E34*GOOGLEFINANCE(""Currency:GBPEUR""),
IF($D32=""Iene"",'Data in Local Currency'!E34*GOOGLEFINANCE(""Currency:JPYEUR""),
IF($D32=""HKD"",'Data in Local Currency'!E34*GOOGLEFINANCE(""Currency:HKDEUR""),
IF($D32=""KRW"",'Data in Local Cu"&amp;"rrency'!E34*GOOGLEFINANCE(""Currency:KRWEUR""),"""")))))))"),23.21)</f>
        <v>23.21</v>
      </c>
      <c r="M32" s="20">
        <f>'Data in Local Currency'!F34</f>
        <v>2000</v>
      </c>
      <c r="N32" s="15">
        <f>IFERROR(__xludf.DUMMYFUNCTION("IF($D32=""Euro"",'Data in Local Currency'!G34,
IF($D32=""Dolar"",'Data in Local Currency'!G34*GOOGLEFINANCE(""Currency:USDEUR""),
IF($D32=""Franco Suíço"",'Data in Local Currency'!G34*GOOGLEFINANCE(""Currency:CHFEUR""),
IF($D32=""Libra Esterlina"", 'Data "&amp;"in Local Currency'!G34*GOOGLEFINANCE(""Currency:GBPEUR""),
IF($D32=""Iene"",'Data in Local Currency'!G34*GOOGLEFINANCE(""Currency:JPYEUR""),
IF($D32=""HKD"",'Data in Local Currency'!G34*GOOGLEFINANCE(""Currency:HKDEUR""),
IF($D32=""KRW"",'Data in Local Cu"&amp;"rrency'!G34*GOOGLEFINANCE(""Currency:KRWEUR""),"""")))))))"),103.4)</f>
        <v>103.4</v>
      </c>
      <c r="O32" s="15">
        <v>54.44</v>
      </c>
      <c r="P32" s="11">
        <v>49.46</v>
      </c>
      <c r="Q32" s="17">
        <v>17.49</v>
      </c>
      <c r="R32" s="11" t="s">
        <v>32</v>
      </c>
      <c r="S32" s="17"/>
    </row>
    <row r="33">
      <c r="A33" s="11" t="s">
        <v>123</v>
      </c>
      <c r="B33" s="11" t="s">
        <v>124</v>
      </c>
      <c r="C33" s="11" t="s">
        <v>125</v>
      </c>
      <c r="D33" s="12" t="s">
        <v>126</v>
      </c>
      <c r="E33" s="11">
        <v>3.8</v>
      </c>
      <c r="F33" s="11">
        <v>3.4</v>
      </c>
      <c r="G33" s="11">
        <v>3.4</v>
      </c>
      <c r="H33" s="13"/>
      <c r="I33" s="11"/>
      <c r="J33" s="11"/>
      <c r="K33" s="14"/>
      <c r="L33" s="15">
        <f>IFERROR(__xludf.DUMMYFUNCTION("IF($D33=""Euro"",'Data in Local Currency'!E35,
IF($D33=""Dolar"",'Data in Local Currency'!E35*GOOGLEFINANCE(""Currency:USDEUR""),
IF($D33=""Franco Suíço"",'Data in Local Currency'!E35*GOOGLEFINANCE(""Currency:CHFEUR""),
IF($D33=""Libra Esterlina"", 'Data "&amp;"in Local Currency'!E35*GOOGLEFINANCE(""Currency:GBPEUR""),
IF($D33=""Iene"",'Data in Local Currency'!E35*GOOGLEFINANCE(""Currency:JPYEUR""),
IF($D33=""HKD"",'Data in Local Currency'!E35*GOOGLEFINANCE(""Currency:HKDEUR""),
IF($D33=""KRW"",'Data in Local Cu"&amp;"rrency'!E35*GOOGLEFINANCE(""Currency:KRWEUR""),"""")))))))"),79.3906188)</f>
        <v>79.3906188</v>
      </c>
      <c r="M33" s="20">
        <f>'Data in Local Currency'!F35</f>
        <v>2000</v>
      </c>
      <c r="N33" s="15">
        <f>IFERROR(__xludf.DUMMYFUNCTION("IF($D33=""Euro"",'Data in Local Currency'!G35,
IF($D33=""Dolar"",'Data in Local Currency'!G35*GOOGLEFINANCE(""Currency:USDEUR""),
IF($D33=""Franco Suíço"",'Data in Local Currency'!G35*GOOGLEFINANCE(""Currency:CHFEUR""),
IF($D33=""Libra Esterlina"", 'Data "&amp;"in Local Currency'!G35*GOOGLEFINANCE(""Currency:GBPEUR""),
IF($D33=""Iene"",'Data in Local Currency'!G35*GOOGLEFINANCE(""Currency:JPYEUR""),
IF($D33=""HKD"",'Data in Local Currency'!G35*GOOGLEFINANCE(""Currency:HKDEUR""),
IF($D33=""KRW"",'Data in Local Cu"&amp;"rrency'!G35*GOOGLEFINANCE(""Currency:KRWEUR""),"""")))))))"),168.09294102)</f>
        <v>168.092941</v>
      </c>
      <c r="O33" s="15">
        <v>156.6</v>
      </c>
      <c r="P33" s="11">
        <v>4.06</v>
      </c>
      <c r="Q33" s="17">
        <v>1.16</v>
      </c>
      <c r="R33" s="11" t="s">
        <v>32</v>
      </c>
      <c r="S33" s="17"/>
    </row>
    <row r="34">
      <c r="A34" s="11" t="s">
        <v>127</v>
      </c>
      <c r="B34" s="11" t="s">
        <v>128</v>
      </c>
      <c r="C34" s="11" t="s">
        <v>129</v>
      </c>
      <c r="D34" s="12" t="s">
        <v>26</v>
      </c>
      <c r="E34" s="11">
        <v>4.4</v>
      </c>
      <c r="F34" s="11">
        <v>4.1</v>
      </c>
      <c r="G34" s="11">
        <v>3.9</v>
      </c>
      <c r="H34" s="13"/>
      <c r="I34" s="11"/>
      <c r="J34" s="11"/>
      <c r="K34" s="14"/>
      <c r="L34" s="15">
        <f>IFERROR(__xludf.DUMMYFUNCTION("IF($D34=""Euro"",'Data in Local Currency'!E36,
IF($D34=""Dolar"",'Data in Local Currency'!E36*GOOGLEFINANCE(""Currency:USDEUR""),
IF($D34=""Franco Suíço"",'Data in Local Currency'!E36*GOOGLEFINANCE(""Currency:CHFEUR""),
IF($D34=""Libra Esterlina"", 'Data "&amp;"in Local Currency'!E36*GOOGLEFINANCE(""Currency:GBPEUR""),
IF($D34=""Iene"",'Data in Local Currency'!E36*GOOGLEFINANCE(""Currency:JPYEUR""),
IF($D34=""HKD"",'Data in Local Currency'!E36*GOOGLEFINANCE(""Currency:HKDEUR""),
IF($D34=""KRW"",'Data in Local Cu"&amp;"rrency'!E36*GOOGLEFINANCE(""Currency:KRWEUR""),"""")))))))"),19.1)</f>
        <v>19.1</v>
      </c>
      <c r="M34" s="20">
        <f>'Data in Local Currency'!F36</f>
        <v>2004</v>
      </c>
      <c r="N34" s="15">
        <f>IFERROR(__xludf.DUMMYFUNCTION("IF($D34=""Euro"",'Data in Local Currency'!G36,
IF($D34=""Dolar"",'Data in Local Currency'!G36*GOOGLEFINANCE(""Currency:USDEUR""),
IF($D34=""Franco Suíço"",'Data in Local Currency'!G36*GOOGLEFINANCE(""Currency:CHFEUR""),
IF($D34=""Libra Esterlina"", 'Data "&amp;"in Local Currency'!G36*GOOGLEFINANCE(""Currency:GBPEUR""),
IF($D34=""Iene"",'Data in Local Currency'!G36*GOOGLEFINANCE(""Currency:JPYEUR""),
IF($D34=""HKD"",'Data in Local Currency'!G36*GOOGLEFINANCE(""Currency:HKDEUR""),
IF($D34=""KRW"",'Data in Local Cu"&amp;"rrency'!G36*GOOGLEFINANCE(""Currency:KRWEUR""),"""")))))))"),7.28)</f>
        <v>7.28</v>
      </c>
      <c r="O34" s="15">
        <v>9.9</v>
      </c>
      <c r="P34" s="11">
        <v>0.38</v>
      </c>
      <c r="Q34" s="17">
        <v>0.04</v>
      </c>
      <c r="R34" s="11" t="s">
        <v>32</v>
      </c>
      <c r="S34" s="17"/>
    </row>
    <row r="35">
      <c r="A35" s="11" t="s">
        <v>130</v>
      </c>
      <c r="B35" s="11" t="s">
        <v>131</v>
      </c>
      <c r="C35" s="11" t="s">
        <v>132</v>
      </c>
      <c r="D35" s="12" t="s">
        <v>26</v>
      </c>
      <c r="E35" s="11">
        <v>4.1</v>
      </c>
      <c r="F35" s="11">
        <v>4.0</v>
      </c>
      <c r="G35" s="11">
        <v>3.7</v>
      </c>
      <c r="H35" s="13">
        <v>4.5</v>
      </c>
      <c r="I35" s="11">
        <v>6.0</v>
      </c>
      <c r="J35" s="11">
        <v>81.0</v>
      </c>
      <c r="K35" s="14">
        <v>72.0</v>
      </c>
      <c r="L35" s="15">
        <f>IFERROR(__xludf.DUMMYFUNCTION("IF($D35=""Euro"",'Data in Local Currency'!E37,
IF($D35=""Dolar"",'Data in Local Currency'!E37*GOOGLEFINANCE(""Currency:USDEUR""),
IF($D35=""Franco Suíço"",'Data in Local Currency'!E37*GOOGLEFINANCE(""Currency:CHFEUR""),
IF($D35=""Libra Esterlina"", 'Data "&amp;"in Local Currency'!E37*GOOGLEFINANCE(""Currency:GBPEUR""),
IF($D35=""Iene"",'Data in Local Currency'!E37*GOOGLEFINANCE(""Currency:JPYEUR""),
IF($D35=""HKD"",'Data in Local Currency'!E37*GOOGLEFINANCE(""Currency:HKDEUR""),
IF($D35=""KRW"",'Data in Local Cu"&amp;"rrency'!E37*GOOGLEFINANCE(""Currency:KRWEUR""),"""")))))))"),167.5)</f>
        <v>167.5</v>
      </c>
      <c r="M35" s="20">
        <f>'Data in Local Currency'!F37</f>
        <v>2000</v>
      </c>
      <c r="N35" s="15">
        <f>IFERROR(__xludf.DUMMYFUNCTION("IF($D35=""Euro"",'Data in Local Currency'!G37,
IF($D35=""Dolar"",'Data in Local Currency'!G37*GOOGLEFINANCE(""Currency:USDEUR""),
IF($D35=""Franco Suíço"",'Data in Local Currency'!G37*GOOGLEFINANCE(""Currency:CHFEUR""),
IF($D35=""Libra Esterlina"", 'Data "&amp;"in Local Currency'!G37*GOOGLEFINANCE(""Currency:GBPEUR""),
IF($D35=""Iene"",'Data in Local Currency'!G37*GOOGLEFINANCE(""Currency:JPYEUR""),
IF($D35=""HKD"",'Data in Local Currency'!G37*GOOGLEFINANCE(""Currency:HKDEUR""),
IF($D35=""KRW"",'Data in Local Cu"&amp;"rrency'!G37*GOOGLEFINANCE(""Currency:KRWEUR""),"""")))))))"),14.2)</f>
        <v>14.2</v>
      </c>
      <c r="O35" s="15">
        <v>10.69</v>
      </c>
      <c r="P35" s="11">
        <v>42.52</v>
      </c>
      <c r="Q35" s="17">
        <v>12.31</v>
      </c>
      <c r="R35" s="11" t="s">
        <v>27</v>
      </c>
      <c r="S35" s="17">
        <v>6.0</v>
      </c>
    </row>
    <row r="36">
      <c r="A36" s="11" t="s">
        <v>133</v>
      </c>
      <c r="B36" s="11" t="s">
        <v>134</v>
      </c>
      <c r="C36" s="11" t="s">
        <v>135</v>
      </c>
      <c r="D36" s="12" t="s">
        <v>31</v>
      </c>
      <c r="E36" s="11">
        <v>4.2</v>
      </c>
      <c r="F36" s="11">
        <v>4.2</v>
      </c>
      <c r="G36" s="11">
        <v>3.8</v>
      </c>
      <c r="H36" s="13">
        <v>4.2</v>
      </c>
      <c r="I36" s="11">
        <v>18.0</v>
      </c>
      <c r="J36" s="11">
        <v>80.0</v>
      </c>
      <c r="K36" s="14">
        <v>65.0</v>
      </c>
      <c r="L36" s="15">
        <f>IFERROR(__xludf.DUMMYFUNCTION("IF($D36=""Euro"",'Data in Local Currency'!E38,
IF($D36=""Dolar"",'Data in Local Currency'!E38*GOOGLEFINANCE(""Currency:USDEUR""),
IF($D36=""Franco Suíço"",'Data in Local Currency'!E38*GOOGLEFINANCE(""Currency:CHFEUR""),
IF($D36=""Libra Esterlina"", 'Data "&amp;"in Local Currency'!E38*GOOGLEFINANCE(""Currency:GBPEUR""),
IF($D36=""Iene"",'Data in Local Currency'!E38*GOOGLEFINANCE(""Currency:JPYEUR""),
IF($D36=""HKD"",'Data in Local Currency'!E38*GOOGLEFINANCE(""Currency:HKDEUR""),
IF($D36=""KRW"",'Data in Local Cu"&amp;"rrency'!E38*GOOGLEFINANCE(""Currency:KRWEUR""),"""")))))))"),2.143134)</f>
        <v>2.143134</v>
      </c>
      <c r="M36" s="20">
        <f>'Data in Local Currency'!F38</f>
        <v>1984</v>
      </c>
      <c r="N36" s="15">
        <f>IFERROR(__xludf.DUMMYFUNCTION("IF($D36=""Euro"",'Data in Local Currency'!G38,
IF($D36=""Dolar"",'Data in Local Currency'!G38*GOOGLEFINANCE(""Currency:USDEUR""),
IF($D36=""Franco Suíço"",'Data in Local Currency'!G38*GOOGLEFINANCE(""Currency:CHFEUR""),
IF($D36=""Libra Esterlina"", 'Data "&amp;"in Local Currency'!G38*GOOGLEFINANCE(""Currency:GBPEUR""),
IF($D36=""Iene"",'Data in Local Currency'!G38*GOOGLEFINANCE(""Currency:JPYEUR""),
IF($D36=""HKD"",'Data in Local Currency'!G38*GOOGLEFINANCE(""Currency:HKDEUR""),
IF($D36=""KRW"",'Data in Local Cu"&amp;"rrency'!G38*GOOGLEFINANCE(""Currency:KRWEUR""),"""")))))))"),133.23302999999999)</f>
        <v>133.23303</v>
      </c>
      <c r="O36" s="15">
        <v>493.22</v>
      </c>
      <c r="P36" s="11">
        <v>13.32</v>
      </c>
      <c r="Q36" s="17">
        <v>4.35</v>
      </c>
      <c r="R36" s="11" t="s">
        <v>32</v>
      </c>
      <c r="S36" s="17"/>
    </row>
    <row r="37">
      <c r="A37" s="11" t="s">
        <v>136</v>
      </c>
      <c r="B37" s="11" t="s">
        <v>137</v>
      </c>
      <c r="C37" s="11" t="s">
        <v>138</v>
      </c>
      <c r="D37" s="12" t="s">
        <v>26</v>
      </c>
      <c r="E37" s="11">
        <v>3.8</v>
      </c>
      <c r="F37" s="11">
        <v>3.7</v>
      </c>
      <c r="G37" s="11">
        <v>3.5</v>
      </c>
      <c r="H37" s="13"/>
      <c r="I37" s="11"/>
      <c r="J37" s="11"/>
      <c r="K37" s="14"/>
      <c r="L37" s="15">
        <f>IFERROR(__xludf.DUMMYFUNCTION("IF($D37=""Euro"",'Data in Local Currency'!E39,
IF($D37=""Dolar"",'Data in Local Currency'!E39*GOOGLEFINANCE(""Currency:USDEUR""),
IF($D37=""Franco Suíço"",'Data in Local Currency'!E39*GOOGLEFINANCE(""Currency:CHFEUR""),
IF($D37=""Libra Esterlina"", 'Data "&amp;"in Local Currency'!E39*GOOGLEFINANCE(""Currency:GBPEUR""),
IF($D37=""Iene"",'Data in Local Currency'!E39*GOOGLEFINANCE(""Currency:JPYEUR""),
IF($D37=""HKD"",'Data in Local Currency'!E39*GOOGLEFINANCE(""Currency:HKDEUR""),
IF($D37=""KRW"",'Data in Local Cu"&amp;"rrency'!E39*GOOGLEFINANCE(""Currency:KRWEUR""),"""")))))))"),13.56)</f>
        <v>13.56</v>
      </c>
      <c r="M37" s="20">
        <f>'Data in Local Currency'!F39</f>
        <v>1987</v>
      </c>
      <c r="N37" s="15">
        <f>IFERROR(__xludf.DUMMYFUNCTION("IF($D37=""Euro"",'Data in Local Currency'!G39,
IF($D37=""Dolar"",'Data in Local Currency'!G39*GOOGLEFINANCE(""Currency:USDEUR""),
IF($D37=""Franco Suíço"",'Data in Local Currency'!G39*GOOGLEFINANCE(""Currency:CHFEUR""),
IF($D37=""Libra Esterlina"", 'Data "&amp;"in Local Currency'!G39*GOOGLEFINANCE(""Currency:GBPEUR""),
IF($D37=""Iene"",'Data in Local Currency'!G39*GOOGLEFINANCE(""Currency:JPYEUR""),
IF($D37=""HKD"",'Data in Local Currency'!G39*GOOGLEFINANCE(""Currency:HKDEUR""),
IF($D37=""KRW"",'Data in Local Cu"&amp;"rrency'!G39*GOOGLEFINANCE(""Currency:KRWEUR""),"""")))))))"),14.53)</f>
        <v>14.53</v>
      </c>
      <c r="O37" s="15">
        <v>18.82</v>
      </c>
      <c r="P37" s="11">
        <v>97.2</v>
      </c>
      <c r="Q37" s="17"/>
      <c r="R37" s="11" t="s">
        <v>27</v>
      </c>
      <c r="S37" s="17">
        <v>0.0</v>
      </c>
    </row>
    <row r="38">
      <c r="A38" s="11" t="s">
        <v>139</v>
      </c>
      <c r="B38" s="11" t="s">
        <v>140</v>
      </c>
      <c r="C38" s="11" t="s">
        <v>141</v>
      </c>
      <c r="D38" s="12" t="s">
        <v>26</v>
      </c>
      <c r="E38" s="11">
        <v>4.3</v>
      </c>
      <c r="F38" s="11">
        <v>4.3</v>
      </c>
      <c r="G38" s="11">
        <v>4.0</v>
      </c>
      <c r="H38" s="13"/>
      <c r="I38" s="11"/>
      <c r="J38" s="11"/>
      <c r="K38" s="14"/>
      <c r="L38" s="15">
        <f>IFERROR(__xludf.DUMMYFUNCTION("IF($D38=""Euro"",'Data in Local Currency'!E40,
IF($D38=""Dolar"",'Data in Local Currency'!E40*GOOGLEFINANCE(""Currency:USDEUR""),
IF($D38=""Franco Suíço"",'Data in Local Currency'!E40*GOOGLEFINANCE(""Currency:CHFEUR""),
IF($D38=""Libra Esterlina"", 'Data "&amp;"in Local Currency'!E40*GOOGLEFINANCE(""Currency:GBPEUR""),
IF($D38=""Iene"",'Data in Local Currency'!E40*GOOGLEFINANCE(""Currency:JPYEUR""),
IF($D38=""HKD"",'Data in Local Currency'!E40*GOOGLEFINANCE(""Currency:HKDEUR""),
IF($D38=""KRW"",'Data in Local Cu"&amp;"rrency'!E40*GOOGLEFINANCE(""Currency:KRWEUR""),"""")))))))"),31.8)</f>
        <v>31.8</v>
      </c>
      <c r="M38" s="20">
        <f>'Data in Local Currency'!F40</f>
        <v>2001</v>
      </c>
      <c r="N38" s="15">
        <f>IFERROR(__xludf.DUMMYFUNCTION("IF($D38=""Euro"",'Data in Local Currency'!G40,
IF($D38=""Dolar"",'Data in Local Currency'!G40*GOOGLEFINANCE(""Currency:USDEUR""),
IF($D38=""Franco Suíço"",'Data in Local Currency'!G40*GOOGLEFINANCE(""Currency:CHFEUR""),
IF($D38=""Libra Esterlina"", 'Data "&amp;"in Local Currency'!G40*GOOGLEFINANCE(""Currency:GBPEUR""),
IF($D38=""Iene"",'Data in Local Currency'!G40*GOOGLEFINANCE(""Currency:JPYEUR""),
IF($D38=""HKD"",'Data in Local Currency'!G40*GOOGLEFINANCE(""Currency:HKDEUR""),
IF($D38=""KRW"",'Data in Local Cu"&amp;"rrency'!G40*GOOGLEFINANCE(""Currency:KRWEUR""),"""")))))))"),89.85)</f>
        <v>89.85</v>
      </c>
      <c r="O38" s="15">
        <v>163.65</v>
      </c>
      <c r="P38" s="11">
        <v>4.63</v>
      </c>
      <c r="Q38" s="17">
        <v>2.04</v>
      </c>
      <c r="R38" s="11" t="s">
        <v>27</v>
      </c>
      <c r="S38" s="17">
        <v>1.0</v>
      </c>
    </row>
    <row r="39">
      <c r="A39" s="11" t="s">
        <v>142</v>
      </c>
      <c r="B39" s="11" t="s">
        <v>143</v>
      </c>
      <c r="C39" s="11" t="s">
        <v>144</v>
      </c>
      <c r="D39" s="12" t="s">
        <v>31</v>
      </c>
      <c r="E39" s="11">
        <v>3.7</v>
      </c>
      <c r="F39" s="11">
        <v>3.5</v>
      </c>
      <c r="G39" s="11">
        <v>3.4</v>
      </c>
      <c r="H39" s="13">
        <v>2.6</v>
      </c>
      <c r="I39" s="11">
        <v>14.0</v>
      </c>
      <c r="J39" s="11">
        <v>61.0</v>
      </c>
      <c r="K39" s="14">
        <v>60.0</v>
      </c>
      <c r="L39" s="15">
        <f>IFERROR(__xludf.DUMMYFUNCTION("IF($D39=""Euro"",'Data in Local Currency'!E41,
IF($D39=""Dolar"",'Data in Local Currency'!E41*GOOGLEFINANCE(""Currency:USDEUR""),
IF($D39=""Franco Suíço"",'Data in Local Currency'!E41*GOOGLEFINANCE(""Currency:CHFEUR""),
IF($D39=""Libra Esterlina"", 'Data "&amp;"in Local Currency'!E41*GOOGLEFINANCE(""Currency:GBPEUR""),
IF($D39=""Iene"",'Data in Local Currency'!E41*GOOGLEFINANCE(""Currency:JPYEUR""),
IF($D39=""HKD"",'Data in Local Currency'!E41*GOOGLEFINANCE(""Currency:HKDEUR""),
IF($D39=""KRW"",'Data in Local Cu"&amp;"rrency'!E41*GOOGLEFINANCE(""Currency:KRWEUR""),"""")))))))"),8.508149999999999)</f>
        <v>8.50815</v>
      </c>
      <c r="M39" s="20">
        <f>'Data in Local Currency'!F41</f>
        <v>1995</v>
      </c>
      <c r="N39" s="15">
        <f>IFERROR(__xludf.DUMMYFUNCTION("IF($D39=""Euro"",'Data in Local Currency'!G41,
IF($D39=""Dolar"",'Data in Local Currency'!G41*GOOGLEFINANCE(""Currency:USDEUR""),
IF($D39=""Franco Suíço"",'Data in Local Currency'!G41*GOOGLEFINANCE(""Currency:CHFEUR""),
IF($D39=""Libra Esterlina"", 'Data "&amp;"in Local Currency'!G41*GOOGLEFINANCE(""Currency:GBPEUR""),
IF($D39=""Iene"",'Data in Local Currency'!G41*GOOGLEFINANCE(""Currency:JPYEUR""),
IF($D39=""HKD"",'Data in Local Currency'!G41*GOOGLEFINANCE(""Currency:HKDEUR""),
IF($D39=""KRW"",'Data in Local Cu"&amp;"rrency'!G41*GOOGLEFINANCE(""Currency:KRWEUR""),"""")))))))"),77.162022)</f>
        <v>77.162022</v>
      </c>
      <c r="O39" s="15">
        <v>86.32</v>
      </c>
      <c r="P39" s="11">
        <v>7.12</v>
      </c>
      <c r="Q39" s="17">
        <v>1.32</v>
      </c>
      <c r="R39" s="11" t="s">
        <v>32</v>
      </c>
      <c r="S39" s="17"/>
    </row>
    <row r="40">
      <c r="A40" s="11" t="s">
        <v>145</v>
      </c>
      <c r="B40" s="11" t="s">
        <v>146</v>
      </c>
      <c r="C40" s="11" t="s">
        <v>147</v>
      </c>
      <c r="D40" s="12" t="s">
        <v>126</v>
      </c>
      <c r="E40" s="11">
        <v>4.1</v>
      </c>
      <c r="F40" s="11">
        <v>3.8</v>
      </c>
      <c r="G40" s="11">
        <v>3.4</v>
      </c>
      <c r="H40" s="13">
        <v>4.6</v>
      </c>
      <c r="I40" s="11">
        <v>40.0</v>
      </c>
      <c r="J40" s="11">
        <v>85.0</v>
      </c>
      <c r="K40" s="14">
        <v>77.0</v>
      </c>
      <c r="L40" s="15">
        <f>IFERROR(__xludf.DUMMYFUNCTION("IF($D40=""Euro"",'Data in Local Currency'!E42,
IF($D40=""Dolar"",'Data in Local Currency'!E42*GOOGLEFINANCE(""Currency:USDEUR""),
IF($D40=""Franco Suíço"",'Data in Local Currency'!E42*GOOGLEFINANCE(""Currency:CHFEUR""),
IF($D40=""Libra Esterlina"", 'Data "&amp;"in Local Currency'!E42*GOOGLEFINANCE(""Currency:GBPEUR""),
IF($D40=""Iene"",'Data in Local Currency'!E42*GOOGLEFINANCE(""Currency:JPYEUR""),
IF($D40=""HKD"",'Data in Local Currency'!E42*GOOGLEFINANCE(""Currency:HKDEUR""),
IF($D40=""KRW"",'Data in Local Cu"&amp;"rrency'!E42*GOOGLEFINANCE(""Currency:KRWEUR""),"""")))))))"),3.605966424)</f>
        <v>3.605966424</v>
      </c>
      <c r="M40" s="20">
        <f>'Data in Local Currency'!F42</f>
        <v>2000</v>
      </c>
      <c r="N40" s="15">
        <f>IFERROR(__xludf.DUMMYFUNCTION("IF($D40=""Euro"",'Data in Local Currency'!G42,
IF($D40=""Dolar"",'Data in Local Currency'!G42*GOOGLEFINANCE(""Currency:USDEUR""),
IF($D40=""Franco Suíço"",'Data in Local Currency'!G42*GOOGLEFINANCE(""Currency:CHFEUR""),
IF($D40=""Libra Esterlina"", 'Data "&amp;"in Local Currency'!G42*GOOGLEFINANCE(""Currency:GBPEUR""),
IF($D40=""Iene"",'Data in Local Currency'!G42*GOOGLEFINANCE(""Currency:JPYEUR""),
IF($D40=""HKD"",'Data in Local Currency'!G42*GOOGLEFINANCE(""Currency:HKDEUR""),
IF($D40=""KRW"",'Data in Local Cu"&amp;"rrency'!G42*GOOGLEFINANCE(""Currency:KRWEUR""),"""")))))))"),22.051300848)</f>
        <v>22.05130085</v>
      </c>
      <c r="O40" s="15">
        <v>21.47</v>
      </c>
      <c r="P40" s="11">
        <v>16.14</v>
      </c>
      <c r="Q40" s="17">
        <v>2.24</v>
      </c>
      <c r="R40" s="11" t="s">
        <v>27</v>
      </c>
      <c r="S40" s="17">
        <v>1.0</v>
      </c>
    </row>
    <row r="41">
      <c r="A41" s="11" t="s">
        <v>148</v>
      </c>
      <c r="B41" s="11" t="s">
        <v>149</v>
      </c>
      <c r="C41" s="11" t="s">
        <v>150</v>
      </c>
      <c r="D41" s="12" t="s">
        <v>26</v>
      </c>
      <c r="E41" s="11">
        <v>3.7</v>
      </c>
      <c r="F41" s="11">
        <v>3.5</v>
      </c>
      <c r="G41" s="11">
        <v>3.3</v>
      </c>
      <c r="H41" s="13"/>
      <c r="I41" s="11"/>
      <c r="J41" s="11"/>
      <c r="K41" s="14"/>
      <c r="L41" s="15">
        <f>IFERROR(__xludf.DUMMYFUNCTION("IF($D41=""Euro"",'Data in Local Currency'!E43,
IF($D41=""Dolar"",'Data in Local Currency'!E43*GOOGLEFINANCE(""Currency:USDEUR""),
IF($D41=""Franco Suíço"",'Data in Local Currency'!E43*GOOGLEFINANCE(""Currency:CHFEUR""),
IF($D41=""Libra Esterlina"", 'Data "&amp;"in Local Currency'!E43*GOOGLEFINANCE(""Currency:GBPEUR""),
IF($D41=""Iene"",'Data in Local Currency'!E43*GOOGLEFINANCE(""Currency:JPYEUR""),
IF($D41=""HKD"",'Data in Local Currency'!E43*GOOGLEFINANCE(""Currency:HKDEUR""),
IF($D41=""KRW"",'Data in Local Cu"&amp;"rrency'!E43*GOOGLEFINANCE(""Currency:KRWEUR""),"""")))))))"),15.42)</f>
        <v>15.42</v>
      </c>
      <c r="M41" s="20">
        <f>'Data in Local Currency'!F43</f>
        <v>2007</v>
      </c>
      <c r="N41" s="15">
        <f>IFERROR(__xludf.DUMMYFUNCTION("IF($D41=""Euro"",'Data in Local Currency'!G43,
IF($D41=""Dolar"",'Data in Local Currency'!G43*GOOGLEFINANCE(""Currency:USDEUR""),
IF($D41=""Franco Suíço"",'Data in Local Currency'!G43*GOOGLEFINANCE(""Currency:CHFEUR""),
IF($D41=""Libra Esterlina"", 'Data "&amp;"in Local Currency'!G43*GOOGLEFINANCE(""Currency:GBPEUR""),
IF($D41=""Iene"",'Data in Local Currency'!G43*GOOGLEFINANCE(""Currency:JPYEUR""),
IF($D41=""HKD"",'Data in Local Currency'!G43*GOOGLEFINANCE(""Currency:HKDEUR""),
IF($D41=""KRW"",'Data in Local Cu"&amp;"rrency'!G43*GOOGLEFINANCE(""Currency:KRWEUR""),"""")))))))"),15.86)</f>
        <v>15.86</v>
      </c>
      <c r="O41" s="15">
        <v>8.36</v>
      </c>
      <c r="P41" s="11">
        <v>1.25</v>
      </c>
      <c r="Q41" s="17">
        <v>0.12</v>
      </c>
      <c r="R41" s="11" t="s">
        <v>27</v>
      </c>
      <c r="S41" s="17">
        <v>0.0</v>
      </c>
    </row>
    <row r="42">
      <c r="A42" s="11" t="s">
        <v>151</v>
      </c>
      <c r="B42" s="11" t="s">
        <v>152</v>
      </c>
      <c r="C42" s="11" t="s">
        <v>153</v>
      </c>
      <c r="D42" s="12" t="s">
        <v>104</v>
      </c>
      <c r="E42" s="11">
        <v>4.1</v>
      </c>
      <c r="F42" s="11">
        <v>4.1</v>
      </c>
      <c r="G42" s="11">
        <v>3.7</v>
      </c>
      <c r="H42" s="13">
        <v>4.3</v>
      </c>
      <c r="I42" s="11">
        <v>40.0</v>
      </c>
      <c r="J42" s="11">
        <v>76.0</v>
      </c>
      <c r="K42" s="14">
        <v>72.0</v>
      </c>
      <c r="L42" s="15">
        <f>IFERROR(__xludf.DUMMYFUNCTION("IF($D42=""Euro"",'Data in Local Currency'!E44,
IF($D42=""Dolar"",'Data in Local Currency'!E44*GOOGLEFINANCE(""Currency:USDEUR""),
IF($D42=""Franco Suíço"",'Data in Local Currency'!E44*GOOGLEFINANCE(""Currency:CHFEUR""),
IF($D42=""Libra Esterlina"", 'Data "&amp;"in Local Currency'!E44*GOOGLEFINANCE(""Currency:GBPEUR""),
IF($D42=""Iene"",'Data in Local Currency'!E44*GOOGLEFINANCE(""Currency:JPYEUR""),
IF($D42=""HKD"",'Data in Local Currency'!E44*GOOGLEFINANCE(""Currency:HKDEUR""),
IF($D42=""KRW"",'Data in Local Cu"&amp;"rrency'!E44*GOOGLEFINANCE(""Currency:KRWEUR""),"""")))))))"),733.27875693105)</f>
        <v>733.2787569</v>
      </c>
      <c r="M42" s="20">
        <f>'Data in Local Currency'!F44</f>
        <v>1993</v>
      </c>
      <c r="N42" s="15">
        <f>IFERROR(__xludf.DUMMYFUNCTION("IF($D42=""Euro"",'Data in Local Currency'!G44,
IF($D42=""Dolar"",'Data in Local Currency'!G44*GOOGLEFINANCE(""Currency:USDEUR""),
IF($D42=""Franco Suíço"",'Data in Local Currency'!G44*GOOGLEFINANCE(""Currency:CHFEUR""),
IF($D42=""Libra Esterlina"", 'Data "&amp;"in Local Currency'!G44*GOOGLEFINANCE(""Currency:GBPEUR""),
IF($D42=""Iene"",'Data in Local Currency'!G44*GOOGLEFINANCE(""Currency:JPYEUR""),
IF($D42=""HKD"",'Data in Local Currency'!G44*GOOGLEFINANCE(""Currency:HKDEUR""),
IF($D42=""KRW"",'Data in Local Cu"&amp;"rrency'!G44*GOOGLEFINANCE(""Currency:KRWEUR""),"""")))))))"),5576.0928675375)</f>
        <v>5576.092868</v>
      </c>
      <c r="O42" s="15">
        <v>11302.13</v>
      </c>
      <c r="P42" s="11">
        <v>34.08</v>
      </c>
      <c r="Q42" s="17">
        <v>6.91</v>
      </c>
      <c r="R42" s="11" t="s">
        <v>27</v>
      </c>
      <c r="S42" s="17">
        <v>3.0</v>
      </c>
    </row>
    <row r="43">
      <c r="A43" s="11" t="s">
        <v>154</v>
      </c>
      <c r="B43" s="11" t="s">
        <v>155</v>
      </c>
      <c r="C43" s="11" t="s">
        <v>156</v>
      </c>
      <c r="D43" s="12" t="s">
        <v>31</v>
      </c>
      <c r="E43" s="11">
        <v>3.9</v>
      </c>
      <c r="F43" s="11">
        <v>3.8</v>
      </c>
      <c r="G43" s="11">
        <v>3.4</v>
      </c>
      <c r="H43" s="13">
        <v>4.1</v>
      </c>
      <c r="I43" s="11">
        <v>25.0</v>
      </c>
      <c r="J43" s="11">
        <v>79.0</v>
      </c>
      <c r="K43" s="14">
        <v>69.0</v>
      </c>
      <c r="L43" s="15">
        <f>IFERROR(__xludf.DUMMYFUNCTION("IF($D43=""Euro"",'Data in Local Currency'!E45,
IF($D43=""Dolar"",'Data in Local Currency'!E45*GOOGLEFINANCE(""Currency:USDEUR""),
IF($D43=""Franco Suíço"",'Data in Local Currency'!E45*GOOGLEFINANCE(""Currency:CHFEUR""),
IF($D43=""Libra Esterlina"", 'Data "&amp;"in Local Currency'!E45*GOOGLEFINANCE(""Currency:GBPEUR""),
IF($D43=""Iene"",'Data in Local Currency'!E45*GOOGLEFINANCE(""Currency:JPYEUR""),
IF($D43=""HKD"",'Data in Local Currency'!E45*GOOGLEFINANCE(""Currency:HKDEUR""),
IF($D43=""KRW"",'Data in Local Cu"&amp;"rrency'!E45*GOOGLEFINANCE(""Currency:KRWEUR""),"""")))))))"),1.232532)</f>
        <v>1.232532</v>
      </c>
      <c r="M43" s="20">
        <f>'Data in Local Currency'!F45</f>
        <v>1984</v>
      </c>
      <c r="N43" s="15">
        <f>IFERROR(__xludf.DUMMYFUNCTION("IF($D43=""Euro"",'Data in Local Currency'!G45,
IF($D43=""Dolar"",'Data in Local Currency'!G45*GOOGLEFINANCE(""Currency:USDEUR""),
IF($D43=""Franco Suíço"",'Data in Local Currency'!G45*GOOGLEFINANCE(""Currency:CHFEUR""),
IF($D43=""Libra Esterlina"", 'Data "&amp;"in Local Currency'!G45*GOOGLEFINANCE(""Currency:GBPEUR""),
IF($D43=""Iene"",'Data in Local Currency'!G45*GOOGLEFINANCE(""Currency:JPYEUR""),
IF($D43=""HKD"",'Data in Local Currency'!G45*GOOGLEFINANCE(""Currency:HKDEUR""),
IF($D43=""KRW"",'Data in Local Cu"&amp;"rrency'!G45*GOOGLEFINANCE(""Currency:KRWEUR""),"""")))))))"),40.140071999999996)</f>
        <v>40.140072</v>
      </c>
      <c r="O43" s="15">
        <v>109.95</v>
      </c>
      <c r="P43" s="11">
        <v>39.23</v>
      </c>
      <c r="Q43" s="17">
        <v>11.6</v>
      </c>
      <c r="R43" s="11" t="s">
        <v>32</v>
      </c>
      <c r="S43" s="17"/>
    </row>
    <row r="44">
      <c r="A44" s="11" t="s">
        <v>157</v>
      </c>
      <c r="B44" s="11" t="s">
        <v>158</v>
      </c>
      <c r="C44" s="11" t="s">
        <v>159</v>
      </c>
      <c r="D44" s="12" t="s">
        <v>26</v>
      </c>
      <c r="E44" s="11">
        <v>4.0</v>
      </c>
      <c r="F44" s="11">
        <v>4.0</v>
      </c>
      <c r="G44" s="11">
        <v>3.6</v>
      </c>
      <c r="H44" s="13">
        <v>3.7</v>
      </c>
      <c r="I44" s="11">
        <v>19.0</v>
      </c>
      <c r="J44" s="11">
        <v>80.0</v>
      </c>
      <c r="K44" s="14">
        <v>63.0</v>
      </c>
      <c r="L44" s="15">
        <f>IFERROR(__xludf.DUMMYFUNCTION("IF($D44=""Euro"",'Data in Local Currency'!E46,
IF($D44=""Dolar"",'Data in Local Currency'!E46*GOOGLEFINANCE(""Currency:USDEUR""),
IF($D44=""Franco Suíço"",'Data in Local Currency'!E46*GOOGLEFINANCE(""Currency:CHFEUR""),
IF($D44=""Libra Esterlina"", 'Data "&amp;"in Local Currency'!E46*GOOGLEFINANCE(""Currency:GBPEUR""),
IF($D44=""Iene"",'Data in Local Currency'!E46*GOOGLEFINANCE(""Currency:JPYEUR""),
IF($D44=""HKD"",'Data in Local Currency'!E46*GOOGLEFINANCE(""Currency:HKDEUR""),
IF($D44=""KRW"",'Data in Local Cu"&amp;"rrency'!E46*GOOGLEFINANCE(""Currency:KRWEUR""),"""")))))))"),23.05)</f>
        <v>23.05</v>
      </c>
      <c r="M44" s="20">
        <f>'Data in Local Currency'!F46</f>
        <v>2000</v>
      </c>
      <c r="N44" s="15">
        <f>IFERROR(__xludf.DUMMYFUNCTION("IF($D44=""Euro"",'Data in Local Currency'!G46,
IF($D44=""Dolar"",'Data in Local Currency'!G46*GOOGLEFINANCE(""Currency:USDEUR""),
IF($D44=""Franco Suíço"",'Data in Local Currency'!G46*GOOGLEFINANCE(""Currency:CHFEUR""),
IF($D44=""Libra Esterlina"", 'Data "&amp;"in Local Currency'!G46*GOOGLEFINANCE(""Currency:GBPEUR""),
IF($D44=""Iene"",'Data in Local Currency'!G46*GOOGLEFINANCE(""Currency:JPYEUR""),
IF($D44=""HKD"",'Data in Local Currency'!G46*GOOGLEFINANCE(""Currency:HKDEUR""),
IF($D44=""KRW"",'Data in Local Cu"&amp;"rrency'!G46*GOOGLEFINANCE(""Currency:KRWEUR""),"""")))))))"),33.0)</f>
        <v>33</v>
      </c>
      <c r="O44" s="15">
        <v>45.91</v>
      </c>
      <c r="P44" s="11">
        <v>81.75</v>
      </c>
      <c r="Q44" s="17">
        <v>10.29</v>
      </c>
      <c r="R44" s="11" t="s">
        <v>27</v>
      </c>
      <c r="S44" s="17">
        <v>3.0</v>
      </c>
    </row>
    <row r="45">
      <c r="A45" s="11" t="s">
        <v>160</v>
      </c>
      <c r="B45" s="11" t="s">
        <v>161</v>
      </c>
      <c r="C45" s="11" t="s">
        <v>162</v>
      </c>
      <c r="D45" s="12" t="s">
        <v>26</v>
      </c>
      <c r="E45" s="11">
        <v>4.1</v>
      </c>
      <c r="F45" s="11">
        <v>3.7</v>
      </c>
      <c r="G45" s="11">
        <v>3.6</v>
      </c>
      <c r="H45" s="13"/>
      <c r="I45" s="11"/>
      <c r="J45" s="11"/>
      <c r="K45" s="14"/>
      <c r="L45" s="15">
        <f>IFERROR(__xludf.DUMMYFUNCTION("IF($D45=""Euro"",'Data in Local Currency'!E47,
IF($D45=""Dolar"",'Data in Local Currency'!E47*GOOGLEFINANCE(""Currency:USDEUR""),
IF($D45=""Franco Suíço"",'Data in Local Currency'!E47*GOOGLEFINANCE(""Currency:CHFEUR""),
IF($D45=""Libra Esterlina"", 'Data "&amp;"in Local Currency'!E47*GOOGLEFINANCE(""Currency:GBPEUR""),
IF($D45=""Iene"",'Data in Local Currency'!E47*GOOGLEFINANCE(""Currency:JPYEUR""),
IF($D45=""HKD"",'Data in Local Currency'!E47*GOOGLEFINANCE(""Currency:HKDEUR""),
IF($D45=""KRW"",'Data in Local Cu"&amp;"rrency'!E47*GOOGLEFINANCE(""Currency:KRWEUR""),"""")))))))"),10.58)</f>
        <v>10.58</v>
      </c>
      <c r="M45" s="20">
        <f>'Data in Local Currency'!F47</f>
        <v>2001</v>
      </c>
      <c r="N45" s="15">
        <f>IFERROR(__xludf.DUMMYFUNCTION("IF($D45=""Euro"",'Data in Local Currency'!G47,
IF($D45=""Dolar"",'Data in Local Currency'!G47*GOOGLEFINANCE(""Currency:USDEUR""),
IF($D45=""Franco Suíço"",'Data in Local Currency'!G47*GOOGLEFINANCE(""Currency:CHFEUR""),
IF($D45=""Libra Esterlina"", 'Data "&amp;"in Local Currency'!G47*GOOGLEFINANCE(""Currency:GBPEUR""),
IF($D45=""Iene"",'Data in Local Currency'!G47*GOOGLEFINANCE(""Currency:JPYEUR""),
IF($D45=""HKD"",'Data in Local Currency'!G47*GOOGLEFINANCE(""Currency:HKDEUR""),
IF($D45=""KRW"",'Data in Local Cu"&amp;"rrency'!G47*GOOGLEFINANCE(""Currency:KRWEUR""),"""")))))))"),33.76)</f>
        <v>33.76</v>
      </c>
      <c r="O45" s="15">
        <v>32.56</v>
      </c>
      <c r="P45" s="11">
        <v>2.96</v>
      </c>
      <c r="Q45" s="17">
        <v>0.43</v>
      </c>
      <c r="R45" s="11" t="s">
        <v>32</v>
      </c>
      <c r="S45" s="17"/>
    </row>
    <row r="46">
      <c r="A46" s="11" t="s">
        <v>163</v>
      </c>
      <c r="B46" s="11" t="s">
        <v>164</v>
      </c>
      <c r="C46" s="11" t="s">
        <v>165</v>
      </c>
      <c r="D46" s="12" t="s">
        <v>26</v>
      </c>
      <c r="E46" s="11">
        <v>4.0</v>
      </c>
      <c r="F46" s="11">
        <v>3.9</v>
      </c>
      <c r="G46" s="11">
        <v>3.6</v>
      </c>
      <c r="H46" s="13">
        <v>3.5</v>
      </c>
      <c r="I46" s="11">
        <v>34.0</v>
      </c>
      <c r="J46" s="11">
        <v>77.0</v>
      </c>
      <c r="K46" s="14">
        <v>83.0</v>
      </c>
      <c r="L46" s="15">
        <f>IFERROR(__xludf.DUMMYFUNCTION("IF($D46=""Euro"",'Data in Local Currency'!E48,
IF($D46=""Dolar"",'Data in Local Currency'!E48*GOOGLEFINANCE(""Currency:USDEUR""),
IF($D46=""Franco Suíço"",'Data in Local Currency'!E48*GOOGLEFINANCE(""Currency:CHFEUR""),
IF($D46=""Libra Esterlina"", 'Data "&amp;"in Local Currency'!E48*GOOGLEFINANCE(""Currency:GBPEUR""),
IF($D46=""Iene"",'Data in Local Currency'!E48*GOOGLEFINANCE(""Currency:JPYEUR""),
IF($D46=""HKD"",'Data in Local Currency'!E48*GOOGLEFINANCE(""Currency:HKDEUR""),
IF($D46=""KRW"",'Data in Local Cu"&amp;"rrency'!E48*GOOGLEFINANCE(""Currency:KRWEUR""),"""")))))))"),6.2)</f>
        <v>6.2</v>
      </c>
      <c r="M46" s="20">
        <f>'Data in Local Currency'!F48</f>
        <v>1990</v>
      </c>
      <c r="N46" s="15">
        <f>IFERROR(__xludf.DUMMYFUNCTION("IF($D46=""Euro"",'Data in Local Currency'!G48,
IF($D46=""Dolar"",'Data in Local Currency'!G48*GOOGLEFINANCE(""Currency:USDEUR""),
IF($D46=""Franco Suíço"",'Data in Local Currency'!G48*GOOGLEFINANCE(""Currency:CHFEUR""),
IF($D46=""Libra Esterlina"", 'Data "&amp;"in Local Currency'!G48*GOOGLEFINANCE(""Currency:GBPEUR""),
IF($D46=""Iene"",'Data in Local Currency'!G48*GOOGLEFINANCE(""Currency:JPYEUR""),
IF($D46=""HKD"",'Data in Local Currency'!G48*GOOGLEFINANCE(""Currency:HKDEUR""),
IF($D46=""KRW"",'Data in Local Cu"&amp;"rrency'!G48*GOOGLEFINANCE(""Currency:KRWEUR""),"""")))))))"),24.51)</f>
        <v>24.51</v>
      </c>
      <c r="O46" s="15">
        <v>26.0</v>
      </c>
      <c r="P46" s="11">
        <v>100.52</v>
      </c>
      <c r="Q46" s="17"/>
      <c r="R46" s="11" t="s">
        <v>27</v>
      </c>
      <c r="S46" s="17">
        <v>5.0</v>
      </c>
    </row>
    <row r="47">
      <c r="A47" s="11" t="s">
        <v>166</v>
      </c>
      <c r="B47" s="11" t="s">
        <v>167</v>
      </c>
      <c r="C47" s="11" t="s">
        <v>168</v>
      </c>
      <c r="D47" s="12" t="s">
        <v>31</v>
      </c>
      <c r="E47" s="11">
        <v>4.0</v>
      </c>
      <c r="F47" s="11">
        <v>4.0</v>
      </c>
      <c r="G47" s="11">
        <v>3.6</v>
      </c>
      <c r="H47" s="13">
        <v>3.7</v>
      </c>
      <c r="I47" s="11">
        <v>21.0</v>
      </c>
      <c r="J47" s="11">
        <v>81.0</v>
      </c>
      <c r="K47" s="14">
        <v>65.0</v>
      </c>
      <c r="L47" s="15">
        <f>IFERROR(__xludf.DUMMYFUNCTION("IF($D47=""Euro"",'Data in Local Currency'!E49,
IF($D47=""Dolar"",'Data in Local Currency'!E49*GOOGLEFINANCE(""Currency:USDEUR""),
IF($D47=""Franco Suíço"",'Data in Local Currency'!E49*GOOGLEFINANCE(""Currency:CHFEUR""),
IF($D47=""Libra Esterlina"", 'Data "&amp;"in Local Currency'!E49*GOOGLEFINANCE(""Currency:GBPEUR""),
IF($D47=""Iene"",'Data in Local Currency'!E49*GOOGLEFINANCE(""Currency:JPYEUR""),
IF($D47=""HKD"",'Data in Local Currency'!E49*GOOGLEFINANCE(""Currency:HKDEUR""),
IF($D47=""KRW"",'Data in Local Cu"&amp;"rrency'!E49*GOOGLEFINANCE(""Currency:KRWEUR""),"""")))))))"),19.187027999999998)</f>
        <v>19.187028</v>
      </c>
      <c r="M47" s="20">
        <f>'Data in Local Currency'!F49</f>
        <v>2008</v>
      </c>
      <c r="N47" s="15">
        <f>IFERROR(__xludf.DUMMYFUNCTION("IF($D47=""Euro"",'Data in Local Currency'!G49,
IF($D47=""Dolar"",'Data in Local Currency'!G49*GOOGLEFINANCE(""Currency:USDEUR""),
IF($D47=""Franco Suíço"",'Data in Local Currency'!G49*GOOGLEFINANCE(""Currency:CHFEUR""),
IF($D47=""Libra Esterlina"", 'Data "&amp;"in Local Currency'!G49*GOOGLEFINANCE(""Currency:GBPEUR""),
IF($D47=""Iene"",'Data in Local Currency'!G49*GOOGLEFINANCE(""Currency:JPYEUR""),
IF($D47=""HKD"",'Data in Local Currency'!G49*GOOGLEFINANCE(""Currency:HKDEUR""),
IF($D47=""KRW"",'Data in Local Cu"&amp;"rrency'!G49*GOOGLEFINANCE(""Currency:KRWEUR""),"""")))))))"),83.904156)</f>
        <v>83.904156</v>
      </c>
      <c r="O47" s="15">
        <v>197.08</v>
      </c>
      <c r="P47" s="11">
        <v>21.96</v>
      </c>
      <c r="Q47" s="17">
        <v>15.15</v>
      </c>
      <c r="R47" s="11" t="s">
        <v>32</v>
      </c>
      <c r="S47" s="17"/>
    </row>
    <row r="48">
      <c r="A48" s="11" t="s">
        <v>169</v>
      </c>
      <c r="B48" s="11" t="s">
        <v>170</v>
      </c>
      <c r="C48" s="11" t="s">
        <v>171</v>
      </c>
      <c r="D48" s="12" t="s">
        <v>104</v>
      </c>
      <c r="E48" s="11">
        <v>3.8</v>
      </c>
      <c r="F48" s="11">
        <v>3.8</v>
      </c>
      <c r="G48" s="11">
        <v>3.3</v>
      </c>
      <c r="H48" s="13">
        <v>3.3</v>
      </c>
      <c r="I48" s="11">
        <v>5.0</v>
      </c>
      <c r="J48" s="11">
        <v>73.0</v>
      </c>
      <c r="K48" s="14">
        <v>71.0</v>
      </c>
      <c r="L48" s="15">
        <f>IFERROR(__xludf.DUMMYFUNCTION("IF($D48=""Euro"",'Data in Local Currency'!E50,
IF($D48=""Dolar"",'Data in Local Currency'!E50*GOOGLEFINANCE(""Currency:USDEUR""),
IF($D48=""Franco Suíço"",'Data in Local Currency'!E50*GOOGLEFINANCE(""Currency:CHFEUR""),
IF($D48=""Libra Esterlina"", 'Data "&amp;"in Local Currency'!E50*GOOGLEFINANCE(""Currency:GBPEUR""),
IF($D48=""Iene"",'Data in Local Currency'!E50*GOOGLEFINANCE(""Currency:JPYEUR""),
IF($D48=""HKD"",'Data in Local Currency'!E50*GOOGLEFINANCE(""Currency:HKDEUR""),
IF($D48=""KRW"",'Data in Local Cu"&amp;"rrency'!E50*GOOGLEFINANCE(""Currency:KRWEUR""),"""")))))))"),375.62725861319996)</f>
        <v>375.6272586</v>
      </c>
      <c r="M48" s="20">
        <f>'Data in Local Currency'!F50</f>
        <v>1988</v>
      </c>
      <c r="N48" s="15">
        <f>IFERROR(__xludf.DUMMYFUNCTION("IF($D48=""Euro"",'Data in Local Currency'!G50,
IF($D48=""Dolar"",'Data in Local Currency'!G50*GOOGLEFINANCE(""Currency:USDEUR""),
IF($D48=""Franco Suíço"",'Data in Local Currency'!G50*GOOGLEFINANCE(""Currency:CHFEUR""),
IF($D48=""Libra Esterlina"", 'Data "&amp;"in Local Currency'!G50*GOOGLEFINANCE(""Currency:GBPEUR""),
IF($D48=""Iene"",'Data in Local Currency'!G50*GOOGLEFINANCE(""Currency:JPYEUR""),
IF($D48=""HKD"",'Data in Local Currency'!G50*GOOGLEFINANCE(""Currency:HKDEUR""),
IF($D48=""KRW"",'Data in Local Cu"&amp;"rrency'!G50*GOOGLEFINANCE(""Currency:KRWEUR""),"""")))))))"),768.328483527)</f>
        <v>768.3284835</v>
      </c>
      <c r="O48" s="15">
        <v>920.32</v>
      </c>
      <c r="P48" s="11">
        <v>4.09</v>
      </c>
      <c r="Q48" s="17">
        <v>1.17</v>
      </c>
      <c r="R48" s="11" t="s">
        <v>27</v>
      </c>
      <c r="S48" s="17">
        <v>4.0</v>
      </c>
    </row>
    <row r="49">
      <c r="A49" s="11" t="s">
        <v>172</v>
      </c>
      <c r="B49" s="11" t="s">
        <v>173</v>
      </c>
      <c r="C49" s="11" t="s">
        <v>174</v>
      </c>
      <c r="D49" s="12" t="s">
        <v>26</v>
      </c>
      <c r="E49" s="11">
        <v>4.0</v>
      </c>
      <c r="F49" s="11">
        <v>4.0</v>
      </c>
      <c r="G49" s="11">
        <v>3.7</v>
      </c>
      <c r="H49" s="13">
        <v>4.2</v>
      </c>
      <c r="I49" s="11">
        <v>16.0</v>
      </c>
      <c r="J49" s="11">
        <v>77.0</v>
      </c>
      <c r="K49" s="14">
        <v>74.0</v>
      </c>
      <c r="L49" s="15">
        <f>IFERROR(__xludf.DUMMYFUNCTION("IF($D49=""Euro"",'Data in Local Currency'!E51,
IF($D49=""Dolar"",'Data in Local Currency'!E51*GOOGLEFINANCE(""Currency:USDEUR""),
IF($D49=""Franco Suíço"",'Data in Local Currency'!E51*GOOGLEFINANCE(""Currency:CHFEUR""),
IF($D49=""Libra Esterlina"", 'Data "&amp;"in Local Currency'!E51*GOOGLEFINANCE(""Currency:GBPEUR""),
IF($D49=""Iene"",'Data in Local Currency'!E51*GOOGLEFINANCE(""Currency:JPYEUR""),
IF($D49=""HKD"",'Data in Local Currency'!E51*GOOGLEFINANCE(""Currency:HKDEUR""),
IF($D49=""KRW"",'Data in Local Cu"&amp;"rrency'!E51*GOOGLEFINANCE(""Currency:KRWEUR""),"""")))))))"),14.51)</f>
        <v>14.51</v>
      </c>
      <c r="M49" s="20">
        <f>'Data in Local Currency'!F51</f>
        <v>2000</v>
      </c>
      <c r="N49" s="15">
        <f>IFERROR(__xludf.DUMMYFUNCTION("IF($D49=""Euro"",'Data in Local Currency'!G51,
IF($D49=""Dolar"",'Data in Local Currency'!G51*GOOGLEFINANCE(""Currency:USDEUR""),
IF($D49=""Franco Suíço"",'Data in Local Currency'!G51*GOOGLEFINANCE(""Currency:CHFEUR""),
IF($D49=""Libra Esterlina"", 'Data "&amp;"in Local Currency'!G51*GOOGLEFINANCE(""Currency:GBPEUR""),
IF($D49=""Iene"",'Data in Local Currency'!G51*GOOGLEFINANCE(""Currency:JPYEUR""),
IF($D49=""HKD"",'Data in Local Currency'!G51*GOOGLEFINANCE(""Currency:HKDEUR""),
IF($D49=""KRW"",'Data in Local Cu"&amp;"rrency'!G51*GOOGLEFINANCE(""Currency:KRWEUR""),"""")))))))"),7.35)</f>
        <v>7.35</v>
      </c>
      <c r="O49" s="15">
        <v>5.2</v>
      </c>
      <c r="P49" s="11">
        <v>23.19</v>
      </c>
      <c r="Q49" s="17"/>
      <c r="R49" s="11" t="s">
        <v>27</v>
      </c>
      <c r="S49" s="17">
        <v>5.0</v>
      </c>
    </row>
    <row r="50">
      <c r="A50" s="11" t="s">
        <v>175</v>
      </c>
      <c r="B50" s="11" t="s">
        <v>176</v>
      </c>
      <c r="C50" s="11" t="s">
        <v>177</v>
      </c>
      <c r="D50" s="12" t="s">
        <v>104</v>
      </c>
      <c r="E50" s="11">
        <v>3.6</v>
      </c>
      <c r="F50" s="11">
        <v>3.6</v>
      </c>
      <c r="G50" s="11">
        <v>3.1</v>
      </c>
      <c r="H50" s="13"/>
      <c r="I50" s="11"/>
      <c r="J50" s="11"/>
      <c r="K50" s="14"/>
      <c r="L50" s="15">
        <f>IFERROR(__xludf.DUMMYFUNCTION("IF($D50=""Euro"",'Data in Local Currency'!E52,
IF($D50=""Dolar"",'Data in Local Currency'!E52*GOOGLEFINANCE(""Currency:USDEUR""),
IF($D50=""Franco Suíço"",'Data in Local Currency'!E52*GOOGLEFINANCE(""Currency:CHFEUR""),
IF($D50=""Libra Esterlina"", 'Data "&amp;"in Local Currency'!E52*GOOGLEFINANCE(""Currency:GBPEUR""),
IF($D50=""Iene"",'Data in Local Currency'!E52*GOOGLEFINANCE(""Currency:JPYEUR""),
IF($D50=""HKD"",'Data in Local Currency'!E52*GOOGLEFINANCE(""Currency:HKDEUR""),
IF($D50=""KRW"",'Data in Local Cu"&amp;"rrency'!E52*GOOGLEFINANCE(""Currency:KRWEUR""),"""")))))))"),360.52521518111996)</f>
        <v>360.5252152</v>
      </c>
      <c r="M50" s="20">
        <f>'Data in Local Currency'!F52</f>
        <v>1988</v>
      </c>
      <c r="N50" s="15">
        <f>IFERROR(__xludf.DUMMYFUNCTION("IF($D50=""Euro"",'Data in Local Currency'!G52,
IF($D50=""Dolar"",'Data in Local Currency'!G52*GOOGLEFINANCE(""Currency:USDEUR""),
IF($D50=""Franco Suíço"",'Data in Local Currency'!G52*GOOGLEFINANCE(""Currency:CHFEUR""),
IF($D50=""Libra Esterlina"", 'Data "&amp;"in Local Currency'!G52*GOOGLEFINANCE(""Currency:GBPEUR""),
IF($D50=""Iene"",'Data in Local Currency'!G52*GOOGLEFINANCE(""Currency:JPYEUR""),
IF($D50=""HKD"",'Data in Local Currency'!G52*GOOGLEFINANCE(""Currency:HKDEUR""),
IF($D50=""KRW"",'Data in Local Cu"&amp;"rrency'!G52*GOOGLEFINANCE(""Currency:KRWEUR""),"""")))))))"),630.6546003285)</f>
        <v>630.6546003</v>
      </c>
      <c r="O50" s="15">
        <v>520.25</v>
      </c>
      <c r="P50" s="11">
        <v>38.12</v>
      </c>
      <c r="Q50" s="17"/>
      <c r="R50" s="11" t="s">
        <v>27</v>
      </c>
      <c r="S50" s="17">
        <v>5.0</v>
      </c>
    </row>
    <row r="51">
      <c r="A51" s="11" t="s">
        <v>178</v>
      </c>
      <c r="B51" s="11" t="s">
        <v>179</v>
      </c>
      <c r="C51" s="11" t="s">
        <v>180</v>
      </c>
      <c r="D51" s="12" t="s">
        <v>26</v>
      </c>
      <c r="E51" s="11">
        <v>4.1</v>
      </c>
      <c r="F51" s="11">
        <v>3.8</v>
      </c>
      <c r="G51" s="11">
        <v>3.4</v>
      </c>
      <c r="H51" s="13"/>
      <c r="I51" s="11"/>
      <c r="J51" s="11"/>
      <c r="K51" s="14"/>
      <c r="L51" s="15">
        <f>IFERROR(__xludf.DUMMYFUNCTION("IF($D51=""Euro"",'Data in Local Currency'!E53,
IF($D51=""Dolar"",'Data in Local Currency'!E53*GOOGLEFINANCE(""Currency:USDEUR""),
IF($D51=""Franco Suíço"",'Data in Local Currency'!E53*GOOGLEFINANCE(""Currency:CHFEUR""),
IF($D51=""Libra Esterlina"", 'Data "&amp;"in Local Currency'!E53*GOOGLEFINANCE(""Currency:GBPEUR""),
IF($D51=""Iene"",'Data in Local Currency'!E53*GOOGLEFINANCE(""Currency:JPYEUR""),
IF($D51=""HKD"",'Data in Local Currency'!E53*GOOGLEFINANCE(""Currency:HKDEUR""),
IF($D51=""KRW"",'Data in Local Cu"&amp;"rrency'!E53*GOOGLEFINANCE(""Currency:KRWEUR""),"""")))))))"),7.41)</f>
        <v>7.41</v>
      </c>
      <c r="M51" s="20">
        <f>'Data in Local Currency'!F53</f>
        <v>1998</v>
      </c>
      <c r="N51" s="15">
        <f>IFERROR(__xludf.DUMMYFUNCTION("IF($D51=""Euro"",'Data in Local Currency'!G53,
IF($D51=""Dolar"",'Data in Local Currency'!G53*GOOGLEFINANCE(""Currency:USDEUR""),
IF($D51=""Franco Suíço"",'Data in Local Currency'!G53*GOOGLEFINANCE(""Currency:CHFEUR""),
IF($D51=""Libra Esterlina"", 'Data "&amp;"in Local Currency'!G53*GOOGLEFINANCE(""Currency:GBPEUR""),
IF($D51=""Iene"",'Data in Local Currency'!G53*GOOGLEFINANCE(""Currency:JPYEUR""),
IF($D51=""HKD"",'Data in Local Currency'!G53*GOOGLEFINANCE(""Currency:HKDEUR""),
IF($D51=""KRW"",'Data in Local Cu"&amp;"rrency'!G53*GOOGLEFINANCE(""Currency:KRWEUR""),"""")))))))"),45.75)</f>
        <v>45.75</v>
      </c>
      <c r="O51" s="15">
        <v>31.7</v>
      </c>
      <c r="P51" s="11">
        <v>3.54</v>
      </c>
      <c r="Q51" s="17">
        <v>0.28</v>
      </c>
      <c r="R51" s="11" t="s">
        <v>27</v>
      </c>
      <c r="S51" s="17">
        <v>0.0</v>
      </c>
    </row>
    <row r="52">
      <c r="A52" s="11" t="s">
        <v>181</v>
      </c>
      <c r="B52" s="11" t="s">
        <v>182</v>
      </c>
      <c r="C52" s="11" t="s">
        <v>183</v>
      </c>
      <c r="D52" s="12" t="s">
        <v>31</v>
      </c>
      <c r="E52" s="11">
        <v>3.8</v>
      </c>
      <c r="F52" s="11">
        <v>3.9</v>
      </c>
      <c r="G52" s="11">
        <v>3.4</v>
      </c>
      <c r="H52" s="13">
        <v>4.2</v>
      </c>
      <c r="I52" s="11">
        <v>8.0</v>
      </c>
      <c r="J52" s="11">
        <v>72.0</v>
      </c>
      <c r="K52" s="14">
        <v>69.0</v>
      </c>
      <c r="L52" s="15">
        <f>IFERROR(__xludf.DUMMYFUNCTION("IF($D52=""Euro"",'Data in Local Currency'!E54,
IF($D52=""Dolar"",'Data in Local Currency'!E54*GOOGLEFINANCE(""Currency:USDEUR""),
IF($D52=""Franco Suíço"",'Data in Local Currency'!E54*GOOGLEFINANCE(""Currency:CHFEUR""),
IF($D52=""Libra Esterlina"", 'Data "&amp;"in Local Currency'!E54*GOOGLEFINANCE(""Currency:GBPEUR""),
IF($D52=""Iene"",'Data in Local Currency'!E54*GOOGLEFINANCE(""Currency:JPYEUR""),
IF($D52=""HKD"",'Data in Local Currency'!E54*GOOGLEFINANCE(""Currency:HKDEUR""),
IF($D52=""KRW"",'Data in Local Cu"&amp;"rrency'!E54*GOOGLEFINANCE(""Currency:KRWEUR""),"""")))))))"),30.270617999999995)</f>
        <v>30.270618</v>
      </c>
      <c r="M52" s="20">
        <f>'Data in Local Currency'!F54</f>
        <v>2012</v>
      </c>
      <c r="N52" s="15">
        <f>IFERROR(__xludf.DUMMYFUNCTION("IF($D52=""Euro"",'Data in Local Currency'!G54,
IF($D52=""Dolar"",'Data in Local Currency'!G54*GOOGLEFINANCE(""Currency:USDEUR""),
IF($D52=""Franco Suíço"",'Data in Local Currency'!G54*GOOGLEFINANCE(""Currency:CHFEUR""),
IF($D52=""Libra Esterlina"", 'Data "&amp;"in Local Currency'!G54*GOOGLEFINANCE(""Currency:GBPEUR""),
IF($D52=""Iene"",'Data in Local Currency'!G54*GOOGLEFINANCE(""Currency:JPYEUR""),
IF($D52=""HKD"",'Data in Local Currency'!G54*GOOGLEFINANCE(""Currency:HKDEUR""),
IF($D52=""KRW"",'Data in Local Cu"&amp;"rrency'!G54*GOOGLEFINANCE(""Currency:KRWEUR""),"""")))))))"),41.400197999999996)</f>
        <v>41.400198</v>
      </c>
      <c r="O52" s="15">
        <v>23.37</v>
      </c>
      <c r="P52" s="11">
        <v>0.82</v>
      </c>
      <c r="Q52" s="17">
        <v>0.03</v>
      </c>
      <c r="R52" s="11" t="s">
        <v>32</v>
      </c>
      <c r="S52" s="17"/>
    </row>
    <row r="53">
      <c r="A53" s="11" t="s">
        <v>184</v>
      </c>
      <c r="B53" s="11" t="s">
        <v>185</v>
      </c>
      <c r="C53" s="11" t="s">
        <v>186</v>
      </c>
      <c r="D53" s="12" t="s">
        <v>26</v>
      </c>
      <c r="E53" s="11">
        <v>3.7</v>
      </c>
      <c r="F53" s="11">
        <v>3.1</v>
      </c>
      <c r="G53" s="11">
        <v>2.6</v>
      </c>
      <c r="H53" s="13"/>
      <c r="I53" s="11"/>
      <c r="J53" s="11"/>
      <c r="K53" s="14"/>
      <c r="L53" s="15">
        <f>IFERROR(__xludf.DUMMYFUNCTION("IF($D53=""Euro"",'Data in Local Currency'!E55,
IF($D53=""Dolar"",'Data in Local Currency'!E55*GOOGLEFINANCE(""Currency:USDEUR""),
IF($D53=""Franco Suíço"",'Data in Local Currency'!E55*GOOGLEFINANCE(""Currency:CHFEUR""),
IF($D53=""Libra Esterlina"", 'Data "&amp;"in Local Currency'!E55*GOOGLEFINANCE(""Currency:GBPEUR""),
IF($D53=""Iene"",'Data in Local Currency'!E55*GOOGLEFINANCE(""Currency:JPYEUR""),
IF($D53=""HKD"",'Data in Local Currency'!E55*GOOGLEFINANCE(""Currency:HKDEUR""),
IF($D53=""KRW"",'Data in Local Cu"&amp;"rrency'!E55*GOOGLEFINANCE(""Currency:KRWEUR""),"""")))))))"),96.49)</f>
        <v>96.49</v>
      </c>
      <c r="M53" s="20">
        <f>'Data in Local Currency'!F55</f>
        <v>2000</v>
      </c>
      <c r="N53" s="15">
        <f>IFERROR(__xludf.DUMMYFUNCTION("IF($D53=""Euro"",'Data in Local Currency'!G55,
IF($D53=""Dolar"",'Data in Local Currency'!G55*GOOGLEFINANCE(""Currency:USDEUR""),
IF($D53=""Franco Suíço"",'Data in Local Currency'!G55*GOOGLEFINANCE(""Currency:CHFEUR""),
IF($D53=""Libra Esterlina"", 'Data "&amp;"in Local Currency'!G55*GOOGLEFINANCE(""Currency:GBPEUR""),
IF($D53=""Iene"",'Data in Local Currency'!G55*GOOGLEFINANCE(""Currency:JPYEUR""),
IF($D53=""HKD"",'Data in Local Currency'!G55*GOOGLEFINANCE(""Currency:HKDEUR""),
IF($D53=""KRW"",'Data in Local Cu"&amp;"rrency'!G55*GOOGLEFINANCE(""Currency:KRWEUR""),"""")))))))"),32.78)</f>
        <v>32.78</v>
      </c>
      <c r="O53" s="15">
        <v>19.9</v>
      </c>
      <c r="P53" s="11">
        <v>0.46</v>
      </c>
      <c r="Q53" s="17">
        <v>0.06</v>
      </c>
      <c r="R53" s="11" t="s">
        <v>27</v>
      </c>
      <c r="S53" s="17">
        <v>0.0</v>
      </c>
    </row>
    <row r="54">
      <c r="A54" s="11" t="s">
        <v>187</v>
      </c>
      <c r="B54" s="11" t="s">
        <v>188</v>
      </c>
      <c r="C54" s="11" t="s">
        <v>189</v>
      </c>
      <c r="D54" s="12" t="s">
        <v>26</v>
      </c>
      <c r="E54" s="11">
        <v>3.9</v>
      </c>
      <c r="F54" s="11">
        <v>3.8</v>
      </c>
      <c r="G54" s="11">
        <v>3.4</v>
      </c>
      <c r="H54" s="13">
        <v>2.8</v>
      </c>
      <c r="I54" s="11">
        <v>21.0</v>
      </c>
      <c r="J54" s="11">
        <v>68.0</v>
      </c>
      <c r="K54" s="14">
        <v>64.0</v>
      </c>
      <c r="L54" s="15">
        <f>IFERROR(__xludf.DUMMYFUNCTION("IF($D54=""Euro"",'Data in Local Currency'!E56,
IF($D54=""Dolar"",'Data in Local Currency'!E56*GOOGLEFINANCE(""Currency:USDEUR""),
IF($D54=""Franco Suíço"",'Data in Local Currency'!E56*GOOGLEFINANCE(""Currency:CHFEUR""),
IF($D54=""Libra Esterlina"", 'Data "&amp;"in Local Currency'!E56*GOOGLEFINANCE(""Currency:GBPEUR""),
IF($D54=""Iene"",'Data in Local Currency'!E56*GOOGLEFINANCE(""Currency:JPYEUR""),
IF($D54=""HKD"",'Data in Local Currency'!E56*GOOGLEFINANCE(""Currency:HKDEUR""),
IF($D54=""KRW"",'Data in Local Cu"&amp;"rrency'!E56*GOOGLEFINANCE(""Currency:KRWEUR""),"""")))))))"),20.98)</f>
        <v>20.98</v>
      </c>
      <c r="M54" s="20">
        <f>'Data in Local Currency'!F56</f>
        <v>1993</v>
      </c>
      <c r="N54" s="15">
        <f>IFERROR(__xludf.DUMMYFUNCTION("IF($D54=""Euro"",'Data in Local Currency'!G56,
IF($D54=""Dolar"",'Data in Local Currency'!G56*GOOGLEFINANCE(""Currency:USDEUR""),
IF($D54=""Franco Suíço"",'Data in Local Currency'!G56*GOOGLEFINANCE(""Currency:CHFEUR""),
IF($D54=""Libra Esterlina"", 'Data "&amp;"in Local Currency'!G56*GOOGLEFINANCE(""Currency:GBPEUR""),
IF($D54=""Iene"",'Data in Local Currency'!G56*GOOGLEFINANCE(""Currency:JPYEUR""),
IF($D54=""HKD"",'Data in Local Currency'!G56*GOOGLEFINANCE(""Currency:HKDEUR""),
IF($D54=""KRW"",'Data in Local Cu"&amp;"rrency'!G56*GOOGLEFINANCE(""Currency:KRWEUR""),"""")))))))"),64.78)</f>
        <v>64.78</v>
      </c>
      <c r="O54" s="15">
        <v>53.6</v>
      </c>
      <c r="P54" s="11">
        <v>51.99</v>
      </c>
      <c r="Q54" s="17"/>
      <c r="R54" s="11" t="s">
        <v>27</v>
      </c>
      <c r="S54" s="17">
        <v>6.0</v>
      </c>
    </row>
    <row r="55">
      <c r="A55" s="11" t="s">
        <v>190</v>
      </c>
      <c r="B55" s="11" t="s">
        <v>191</v>
      </c>
      <c r="C55" s="11" t="s">
        <v>192</v>
      </c>
      <c r="D55" s="12" t="s">
        <v>26</v>
      </c>
      <c r="E55" s="11">
        <v>3.6</v>
      </c>
      <c r="F55" s="11">
        <v>3.5</v>
      </c>
      <c r="G55" s="11">
        <v>3.3</v>
      </c>
      <c r="H55" s="13">
        <v>2.2</v>
      </c>
      <c r="I55" s="11">
        <v>100.0</v>
      </c>
      <c r="J55" s="11">
        <v>43.0</v>
      </c>
      <c r="K55" s="14">
        <v>55.0</v>
      </c>
      <c r="L55" s="15">
        <f>IFERROR(__xludf.DUMMYFUNCTION("IF($D55=""Euro"",'Data in Local Currency'!E57,
IF($D55=""Dolar"",'Data in Local Currency'!E57*GOOGLEFINANCE(""Currency:USDEUR""),
IF($D55=""Franco Suíço"",'Data in Local Currency'!E57*GOOGLEFINANCE(""Currency:CHFEUR""),
IF($D55=""Libra Esterlina"", 'Data "&amp;"in Local Currency'!E57*GOOGLEFINANCE(""Currency:GBPEUR""),
IF($D55=""Iene"",'Data in Local Currency'!E57*GOOGLEFINANCE(""Currency:JPYEUR""),
IF($D55=""HKD"",'Data in Local Currency'!E57*GOOGLEFINANCE(""Currency:HKDEUR""),
IF($D55=""KRW"",'Data in Local Cu"&amp;"rrency'!E57*GOOGLEFINANCE(""Currency:KRWEUR""),"""")))))))"),24.54)</f>
        <v>24.54</v>
      </c>
      <c r="M55" s="20">
        <f>'Data in Local Currency'!F57</f>
        <v>1998</v>
      </c>
      <c r="N55" s="15">
        <f>IFERROR(__xludf.DUMMYFUNCTION("IF($D55=""Euro"",'Data in Local Currency'!G57,
IF($D55=""Dolar"",'Data in Local Currency'!G57*GOOGLEFINANCE(""Currency:USDEUR""),
IF($D55=""Franco Suíço"",'Data in Local Currency'!G57*GOOGLEFINANCE(""Currency:CHFEUR""),
IF($D55=""Libra Esterlina"", 'Data "&amp;"in Local Currency'!G57*GOOGLEFINANCE(""Currency:GBPEUR""),
IF($D55=""Iene"",'Data in Local Currency'!G57*GOOGLEFINANCE(""Currency:JPYEUR""),
IF($D55=""HKD"",'Data in Local Currency'!G57*GOOGLEFINANCE(""Currency:HKDEUR""),
IF($D55=""KRW"",'Data in Local Cu"&amp;"rrency'!G57*GOOGLEFINANCE(""Currency:KRWEUR""),"""")))))))"),41.02)</f>
        <v>41.02</v>
      </c>
      <c r="O55" s="15">
        <v>75.0</v>
      </c>
      <c r="P55" s="11">
        <v>2.28</v>
      </c>
      <c r="Q55" s="17">
        <v>0.85</v>
      </c>
      <c r="R55" s="11" t="s">
        <v>32</v>
      </c>
      <c r="S55" s="17"/>
    </row>
    <row r="56">
      <c r="A56" s="11" t="s">
        <v>193</v>
      </c>
      <c r="B56" s="11" t="s">
        <v>194</v>
      </c>
      <c r="C56" s="11" t="s">
        <v>195</v>
      </c>
      <c r="D56" s="12" t="s">
        <v>26</v>
      </c>
      <c r="E56" s="11">
        <v>3.8</v>
      </c>
      <c r="F56" s="11">
        <v>3.6</v>
      </c>
      <c r="G56" s="11">
        <v>3.3</v>
      </c>
      <c r="H56" s="13"/>
      <c r="I56" s="11"/>
      <c r="J56" s="11"/>
      <c r="K56" s="14"/>
      <c r="L56" s="15">
        <f>IFERROR(__xludf.DUMMYFUNCTION("IF($D56=""Euro"",'Data in Local Currency'!E58,
IF($D56=""Dolar"",'Data in Local Currency'!E58*GOOGLEFINANCE(""Currency:USDEUR""),
IF($D56=""Franco Suíço"",'Data in Local Currency'!E58*GOOGLEFINANCE(""Currency:CHFEUR""),
IF($D56=""Libra Esterlina"", 'Data "&amp;"in Local Currency'!E58*GOOGLEFINANCE(""Currency:GBPEUR""),
IF($D56=""Iene"",'Data in Local Currency'!E58*GOOGLEFINANCE(""Currency:JPYEUR""),
IF($D56=""HKD"",'Data in Local Currency'!E58*GOOGLEFINANCE(""Currency:HKDEUR""),
IF($D56=""KRW"",'Data in Local Cu"&amp;"rrency'!E58*GOOGLEFINANCE(""Currency:KRWEUR""),"""")))))))"),17.79)</f>
        <v>17.79</v>
      </c>
      <c r="M56" s="20">
        <f>'Data in Local Currency'!F58</f>
        <v>2000</v>
      </c>
      <c r="N56" s="15">
        <f>IFERROR(__xludf.DUMMYFUNCTION("IF($D56=""Euro"",'Data in Local Currency'!G58,
IF($D56=""Dolar"",'Data in Local Currency'!G58*GOOGLEFINANCE(""Currency:USDEUR""),
IF($D56=""Franco Suíço"",'Data in Local Currency'!G58*GOOGLEFINANCE(""Currency:CHFEUR""),
IF($D56=""Libra Esterlina"", 'Data "&amp;"in Local Currency'!G58*GOOGLEFINANCE(""Currency:GBPEUR""),
IF($D56=""Iene"",'Data in Local Currency'!G58*GOOGLEFINANCE(""Currency:JPYEUR""),
IF($D56=""HKD"",'Data in Local Currency'!G58*GOOGLEFINANCE(""Currency:HKDEUR""),
IF($D56=""KRW"",'Data in Local Cu"&amp;"rrency'!G58*GOOGLEFINANCE(""Currency:KRWEUR""),"""")))))))"),20.76)</f>
        <v>20.76</v>
      </c>
      <c r="O56" s="15">
        <v>25.15</v>
      </c>
      <c r="P56" s="11">
        <v>22.14</v>
      </c>
      <c r="Q56" s="17">
        <v>3.61</v>
      </c>
      <c r="R56" s="11" t="s">
        <v>27</v>
      </c>
      <c r="S56" s="17">
        <v>3.0</v>
      </c>
    </row>
    <row r="57">
      <c r="A57" s="11" t="s">
        <v>196</v>
      </c>
      <c r="B57" s="11" t="s">
        <v>197</v>
      </c>
      <c r="C57" s="11" t="s">
        <v>198</v>
      </c>
      <c r="D57" s="12" t="s">
        <v>126</v>
      </c>
      <c r="E57" s="11">
        <v>2.9</v>
      </c>
      <c r="F57" s="11">
        <v>2.9</v>
      </c>
      <c r="G57" s="11">
        <v>2.6</v>
      </c>
      <c r="H57" s="13"/>
      <c r="I57" s="11"/>
      <c r="J57" s="11"/>
      <c r="K57" s="14"/>
      <c r="L57" s="15">
        <f>IFERROR(__xludf.DUMMYFUNCTION("IF($D57=""Euro"",'Data in Local Currency'!E59,
IF($D57=""Dolar"",'Data in Local Currency'!E59*GOOGLEFINANCE(""Currency:USDEUR""),
IF($D57=""Franco Suíço"",'Data in Local Currency'!E59*GOOGLEFINANCE(""Currency:CHFEUR""),
IF($D57=""Libra Esterlina"", 'Data "&amp;"in Local Currency'!E59*GOOGLEFINANCE(""Currency:GBPEUR""),
IF($D57=""Iene"",'Data in Local Currency'!E59*GOOGLEFINANCE(""Currency:JPYEUR""),
IF($D57=""HKD"",'Data in Local Currency'!E59*GOOGLEFINANCE(""Currency:HKDEUR""),
IF($D57=""KRW"",'Data in Local Cu"&amp;"rrency'!E59*GOOGLEFINANCE(""Currency:KRWEUR""),"""")))))))"),51.78939432)</f>
        <v>51.78939432</v>
      </c>
      <c r="M57" s="20">
        <f>'Data in Local Currency'!F59</f>
        <v>2001</v>
      </c>
      <c r="N57" s="15">
        <f>IFERROR(__xludf.DUMMYFUNCTION("IF($D57=""Euro"",'Data in Local Currency'!G59,
IF($D57=""Dolar"",'Data in Local Currency'!G59*GOOGLEFINANCE(""Currency:USDEUR""),
IF($D57=""Franco Suíço"",'Data in Local Currency'!G59*GOOGLEFINANCE(""Currency:CHFEUR""),
IF($D57=""Libra Esterlina"", 'Data "&amp;"in Local Currency'!G59*GOOGLEFINANCE(""Currency:GBPEUR""),
IF($D57=""Iene"",'Data in Local Currency'!G59*GOOGLEFINANCE(""Currency:JPYEUR""),
IF($D57=""HKD"",'Data in Local Currency'!G59*GOOGLEFINANCE(""Currency:HKDEUR""),
IF($D57=""KRW"",'Data in Local Cu"&amp;"rrency'!G59*GOOGLEFINANCE(""Currency:KRWEUR""),"""")))))))"),138.63679554)</f>
        <v>138.6367955</v>
      </c>
      <c r="O57" s="15">
        <v>121.41</v>
      </c>
      <c r="P57" s="11">
        <v>6.07</v>
      </c>
      <c r="Q57" s="17">
        <v>0.11</v>
      </c>
      <c r="R57" s="11" t="s">
        <v>32</v>
      </c>
      <c r="S57" s="17"/>
    </row>
    <row r="58">
      <c r="A58" s="11" t="s">
        <v>199</v>
      </c>
      <c r="B58" s="11" t="s">
        <v>200</v>
      </c>
      <c r="C58" s="11" t="s">
        <v>201</v>
      </c>
      <c r="D58" s="12" t="s">
        <v>104</v>
      </c>
      <c r="E58" s="11">
        <v>4.0</v>
      </c>
      <c r="F58" s="11">
        <v>4.0</v>
      </c>
      <c r="G58" s="11">
        <v>3.5</v>
      </c>
      <c r="H58" s="13">
        <v>3.7</v>
      </c>
      <c r="I58" s="11">
        <v>3.0</v>
      </c>
      <c r="J58" s="11">
        <v>70.0</v>
      </c>
      <c r="K58" s="14">
        <v>75.0</v>
      </c>
      <c r="L58" s="15">
        <f>IFERROR(__xludf.DUMMYFUNCTION("IF($D58=""Euro"",'Data in Local Currency'!E60,
IF($D58=""Dolar"",'Data in Local Currency'!E60*GOOGLEFINANCE(""Currency:USDEUR""),
IF($D58=""Franco Suíço"",'Data in Local Currency'!E60*GOOGLEFINANCE(""Currency:CHFEUR""),
IF($D58=""Libra Esterlina"", 'Data "&amp;"in Local Currency'!E60*GOOGLEFINANCE(""Currency:GBPEUR""),
IF($D58=""Iene"",'Data in Local Currency'!E60*GOOGLEFINANCE(""Currency:JPYEUR""),
IF($D58=""HKD"",'Data in Local Currency'!E60*GOOGLEFINANCE(""Currency:HKDEUR""),
IF($D58=""KRW"",'Data in Local Cu"&amp;"rrency'!E60*GOOGLEFINANCE(""Currency:KRWEUR""),"""")))))))"),17.57897093766)</f>
        <v>17.57897094</v>
      </c>
      <c r="M58" s="20">
        <f>'Data in Local Currency'!F60</f>
        <v>1988</v>
      </c>
      <c r="N58" s="15">
        <f>IFERROR(__xludf.DUMMYFUNCTION("IF($D58=""Euro"",'Data in Local Currency'!G60,
IF($D58=""Dolar"",'Data in Local Currency'!G60*GOOGLEFINANCE(""Currency:USDEUR""),
IF($D58=""Franco Suíço"",'Data in Local Currency'!G60*GOOGLEFINANCE(""Currency:CHFEUR""),
IF($D58=""Libra Esterlina"", 'Data "&amp;"in Local Currency'!G60*GOOGLEFINANCE(""Currency:GBPEUR""),
IF($D58=""Iene"",'Data in Local Currency'!G60*GOOGLEFINANCE(""Currency:JPYEUR""),
IF($D58=""HKD"",'Data in Local Currency'!G60*GOOGLEFINANCE(""Currency:HKDEUR""),
IF($D58=""KRW"",'Data in Local Cu"&amp;"rrency'!G60*GOOGLEFINANCE(""Currency:KRWEUR""),"""")))))))"),239.33612620665002)</f>
        <v>239.3361262</v>
      </c>
      <c r="O58" s="15">
        <v>149.92</v>
      </c>
      <c r="P58" s="11">
        <v>43.81</v>
      </c>
      <c r="Q58" s="17">
        <v>16.64</v>
      </c>
      <c r="R58" s="11" t="s">
        <v>27</v>
      </c>
      <c r="S58" s="17">
        <v>3.0</v>
      </c>
    </row>
    <row r="59">
      <c r="A59" s="11" t="s">
        <v>202</v>
      </c>
      <c r="B59" s="11" t="s">
        <v>203</v>
      </c>
      <c r="C59" s="11" t="s">
        <v>204</v>
      </c>
      <c r="D59" s="12" t="s">
        <v>26</v>
      </c>
      <c r="E59" s="11">
        <v>4.1</v>
      </c>
      <c r="F59" s="11">
        <v>4.1</v>
      </c>
      <c r="G59" s="11">
        <v>4.1</v>
      </c>
      <c r="H59" s="13"/>
      <c r="I59" s="11"/>
      <c r="J59" s="11"/>
      <c r="K59" s="14"/>
      <c r="L59" s="15">
        <f>IFERROR(__xludf.DUMMYFUNCTION("IF($D59=""Euro"",'Data in Local Currency'!E61,
IF($D59=""Dolar"",'Data in Local Currency'!E61*GOOGLEFINANCE(""Currency:USDEUR""),
IF($D59=""Franco Suíço"",'Data in Local Currency'!E61*GOOGLEFINANCE(""Currency:CHFEUR""),
IF($D59=""Libra Esterlina"", 'Data "&amp;"in Local Currency'!E61*GOOGLEFINANCE(""Currency:GBPEUR""),
IF($D59=""Iene"",'Data in Local Currency'!E61*GOOGLEFINANCE(""Currency:JPYEUR""),
IF($D59=""HKD"",'Data in Local Currency'!E61*GOOGLEFINANCE(""Currency:HKDEUR""),
IF($D59=""KRW"",'Data in Local Cu"&amp;"rrency'!E61*GOOGLEFINANCE(""Currency:KRWEUR""),"""")))))))"),2.79)</f>
        <v>2.79</v>
      </c>
      <c r="M59" s="20">
        <f>'Data in Local Currency'!F61</f>
        <v>2014</v>
      </c>
      <c r="N59" s="15">
        <f>IFERROR(__xludf.DUMMYFUNCTION("IF($D59=""Euro"",'Data in Local Currency'!G61,
IF($D59=""Dolar"",'Data in Local Currency'!G61*GOOGLEFINANCE(""Currency:USDEUR""),
IF($D59=""Franco Suíço"",'Data in Local Currency'!G61*GOOGLEFINANCE(""Currency:CHFEUR""),
IF($D59=""Libra Esterlina"", 'Data "&amp;"in Local Currency'!G61*GOOGLEFINANCE(""Currency:GBPEUR""),
IF($D59=""Iene"",'Data in Local Currency'!G61*GOOGLEFINANCE(""Currency:JPYEUR""),
IF($D59=""HKD"",'Data in Local Currency'!G61*GOOGLEFINANCE(""Currency:HKDEUR""),
IF($D59=""KRW"",'Data in Local Cu"&amp;"rrency'!G61*GOOGLEFINANCE(""Currency:KRWEUR""),"""")))))))"),4.94)</f>
        <v>4.94</v>
      </c>
      <c r="O59" s="15">
        <v>3.84</v>
      </c>
      <c r="P59" s="11">
        <v>0.19</v>
      </c>
      <c r="Q59" s="17">
        <v>0.01</v>
      </c>
      <c r="R59" s="11" t="s">
        <v>32</v>
      </c>
      <c r="S59" s="17"/>
    </row>
    <row r="60">
      <c r="A60" s="11" t="s">
        <v>205</v>
      </c>
      <c r="B60" s="11" t="s">
        <v>206</v>
      </c>
      <c r="C60" s="11" t="s">
        <v>207</v>
      </c>
      <c r="D60" s="12" t="s">
        <v>26</v>
      </c>
      <c r="E60" s="11">
        <v>3.8</v>
      </c>
      <c r="F60" s="11">
        <v>3.8</v>
      </c>
      <c r="G60" s="11">
        <v>3.4</v>
      </c>
      <c r="H60" s="13">
        <v>2.8</v>
      </c>
      <c r="I60" s="11">
        <v>10.0</v>
      </c>
      <c r="J60" s="11">
        <v>63.0</v>
      </c>
      <c r="K60" s="14">
        <v>60.0</v>
      </c>
      <c r="L60" s="15">
        <f>IFERROR(__xludf.DUMMYFUNCTION("IF($D60=""Euro"",'Data in Local Currency'!E62,
IF($D60=""Dolar"",'Data in Local Currency'!E62*GOOGLEFINANCE(""Currency:USDEUR""),
IF($D60=""Franco Suíço"",'Data in Local Currency'!E62*GOOGLEFINANCE(""Currency:CHFEUR""),
IF($D60=""Libra Esterlina"", 'Data "&amp;"in Local Currency'!E62*GOOGLEFINANCE(""Currency:GBPEUR""),
IF($D60=""Iene"",'Data in Local Currency'!E62*GOOGLEFINANCE(""Currency:JPYEUR""),
IF($D60=""HKD"",'Data in Local Currency'!E62*GOOGLEFINANCE(""Currency:HKDEUR""),
IF($D60=""KRW"",'Data in Local Cu"&amp;"rrency'!E62*GOOGLEFINANCE(""Currency:KRWEUR""),"""")))))))"),1.2049)</f>
        <v>1.2049</v>
      </c>
      <c r="M60" s="20">
        <f>'Data in Local Currency'!F62</f>
        <v>2001</v>
      </c>
      <c r="N60" s="15">
        <f>IFERROR(__xludf.DUMMYFUNCTION("IF($D60=""Euro"",'Data in Local Currency'!G62,
IF($D60=""Dolar"",'Data in Local Currency'!G62*GOOGLEFINANCE(""Currency:USDEUR""),
IF($D60=""Franco Suíço"",'Data in Local Currency'!G62*GOOGLEFINANCE(""Currency:CHFEUR""),
IF($D60=""Libra Esterlina"", 'Data "&amp;"in Local Currency'!G62*GOOGLEFINANCE(""Currency:GBPEUR""),
IF($D60=""Iene"",'Data in Local Currency'!G62*GOOGLEFINANCE(""Currency:JPYEUR""),
IF($D60=""HKD"",'Data in Local Currency'!G62*GOOGLEFINANCE(""Currency:HKDEUR""),
IF($D60=""KRW"",'Data in Local Cu"&amp;"rrency'!G62*GOOGLEFINANCE(""Currency:KRWEUR""),"""")))))))"),3.204)</f>
        <v>3.204</v>
      </c>
      <c r="O60" s="15">
        <v>1.89</v>
      </c>
      <c r="P60" s="11">
        <v>19.72</v>
      </c>
      <c r="Q60" s="17">
        <v>1.55</v>
      </c>
      <c r="R60" s="11" t="s">
        <v>27</v>
      </c>
      <c r="S60" s="17">
        <v>1.0</v>
      </c>
    </row>
    <row r="61">
      <c r="A61" s="11" t="s">
        <v>208</v>
      </c>
      <c r="B61" s="11" t="s">
        <v>209</v>
      </c>
      <c r="C61" s="11" t="s">
        <v>210</v>
      </c>
      <c r="D61" s="12" t="s">
        <v>26</v>
      </c>
      <c r="E61" s="11">
        <v>3.9</v>
      </c>
      <c r="F61" s="11">
        <v>3.9</v>
      </c>
      <c r="G61" s="11">
        <v>3.2</v>
      </c>
      <c r="H61" s="13"/>
      <c r="I61" s="11"/>
      <c r="J61" s="11"/>
      <c r="K61" s="14"/>
      <c r="L61" s="15">
        <f>IFERROR(__xludf.DUMMYFUNCTION("IF($D61=""Euro"",'Data in Local Currency'!E63,
IF($D61=""Dolar"",'Data in Local Currency'!E63*GOOGLEFINANCE(""Currency:USDEUR""),
IF($D61=""Franco Suíço"",'Data in Local Currency'!E63*GOOGLEFINANCE(""Currency:CHFEUR""),
IF($D61=""Libra Esterlina"", 'Data "&amp;"in Local Currency'!E63*GOOGLEFINANCE(""Currency:GBPEUR""),
IF($D61=""Iene"",'Data in Local Currency'!E63*GOOGLEFINANCE(""Currency:JPYEUR""),
IF($D61=""HKD"",'Data in Local Currency'!E63*GOOGLEFINANCE(""Currency:HKDEUR""),
IF($D61=""KRW"",'Data in Local Cu"&amp;"rrency'!E63*GOOGLEFINANCE(""Currency:KRWEUR""),"""")))))))"),17.12)</f>
        <v>17.12</v>
      </c>
      <c r="M61" s="20">
        <f>'Data in Local Currency'!F63</f>
        <v>2001</v>
      </c>
      <c r="N61" s="15">
        <f>IFERROR(__xludf.DUMMYFUNCTION("IF($D61=""Euro"",'Data in Local Currency'!G63,
IF($D61=""Dolar"",'Data in Local Currency'!G63*GOOGLEFINANCE(""Currency:USDEUR""),
IF($D61=""Franco Suíço"",'Data in Local Currency'!G63*GOOGLEFINANCE(""Currency:CHFEUR""),
IF($D61=""Libra Esterlina"", 'Data "&amp;"in Local Currency'!G63*GOOGLEFINANCE(""Currency:GBPEUR""),
IF($D61=""Iene"",'Data in Local Currency'!G63*GOOGLEFINANCE(""Currency:JPYEUR""),
IF($D61=""HKD"",'Data in Local Currency'!G63*GOOGLEFINANCE(""Currency:HKDEUR""),
IF($D61=""KRW"",'Data in Local Cu"&amp;"rrency'!G63*GOOGLEFINANCE(""Currency:KRWEUR""),"""")))))))"),38.99)</f>
        <v>38.99</v>
      </c>
      <c r="O61" s="15">
        <v>12.05</v>
      </c>
      <c r="P61" s="11">
        <v>4.49</v>
      </c>
      <c r="Q61" s="17">
        <v>0.83</v>
      </c>
      <c r="R61" s="11" t="s">
        <v>27</v>
      </c>
      <c r="S61" s="17">
        <v>0.0</v>
      </c>
    </row>
    <row r="62">
      <c r="A62" s="11" t="s">
        <v>211</v>
      </c>
      <c r="B62" s="11" t="s">
        <v>212</v>
      </c>
      <c r="C62" s="11" t="s">
        <v>213</v>
      </c>
      <c r="D62" s="12" t="s">
        <v>26</v>
      </c>
      <c r="E62" s="11">
        <v>2.4</v>
      </c>
      <c r="F62" s="11">
        <v>2.0</v>
      </c>
      <c r="G62" s="11">
        <v>2.4</v>
      </c>
      <c r="H62" s="13"/>
      <c r="I62" s="11"/>
      <c r="J62" s="11"/>
      <c r="K62" s="14"/>
      <c r="L62" s="15">
        <f>IFERROR(__xludf.DUMMYFUNCTION("IF($D62=""Euro"",'Data in Local Currency'!E64,
IF($D62=""Dolar"",'Data in Local Currency'!E64*GOOGLEFINANCE(""Currency:USDEUR""),
IF($D62=""Franco Suíço"",'Data in Local Currency'!E64*GOOGLEFINANCE(""Currency:CHFEUR""),
IF($D62=""Libra Esterlina"", 'Data "&amp;"in Local Currency'!E64*GOOGLEFINANCE(""Currency:GBPEUR""),
IF($D62=""Iene"",'Data in Local Currency'!E64*GOOGLEFINANCE(""Currency:JPYEUR""),
IF($D62=""HKD"",'Data in Local Currency'!E64*GOOGLEFINANCE(""Currency:HKDEUR""),
IF($D62=""KRW"",'Data in Local Cu"&amp;"rrency'!E64*GOOGLEFINANCE(""Currency:KRWEUR""),"""")))))))"),0.09)</f>
        <v>0.09</v>
      </c>
      <c r="M62" s="20">
        <f>'Data in Local Currency'!F64</f>
        <v>2006</v>
      </c>
      <c r="N62" s="15">
        <f>IFERROR(__xludf.DUMMYFUNCTION("IF($D62=""Euro"",'Data in Local Currency'!G64,
IF($D62=""Dolar"",'Data in Local Currency'!G64*GOOGLEFINANCE(""Currency:USDEUR""),
IF($D62=""Franco Suíço"",'Data in Local Currency'!G64*GOOGLEFINANCE(""Currency:CHFEUR""),
IF($D62=""Libra Esterlina"", 'Data "&amp;"in Local Currency'!G64*GOOGLEFINANCE(""Currency:GBPEUR""),
IF($D62=""Iene"",'Data in Local Currency'!G64*GOOGLEFINANCE(""Currency:JPYEUR""),
IF($D62=""HKD"",'Data in Local Currency'!G64*GOOGLEFINANCE(""Currency:HKDEUR""),
IF($D62=""KRW"",'Data in Local Cu"&amp;"rrency'!G64*GOOGLEFINANCE(""Currency:KRWEUR""),"""")))))))"),4.55)</f>
        <v>4.55</v>
      </c>
      <c r="O62" s="15">
        <v>8.05</v>
      </c>
      <c r="P62" s="11">
        <v>0.87</v>
      </c>
      <c r="Q62" s="17"/>
      <c r="R62" s="11" t="s">
        <v>27</v>
      </c>
      <c r="S62" s="17">
        <v>0.0</v>
      </c>
    </row>
    <row r="63">
      <c r="A63" s="11" t="s">
        <v>214</v>
      </c>
      <c r="B63" s="11" t="s">
        <v>215</v>
      </c>
      <c r="C63" s="11" t="s">
        <v>216</v>
      </c>
      <c r="D63" s="12" t="s">
        <v>31</v>
      </c>
      <c r="E63" s="11">
        <v>3.4</v>
      </c>
      <c r="F63" s="11">
        <v>3.0</v>
      </c>
      <c r="G63" s="11">
        <v>3.1</v>
      </c>
      <c r="H63" s="13"/>
      <c r="I63" s="11"/>
      <c r="J63" s="11"/>
      <c r="K63" s="14"/>
      <c r="L63" s="15">
        <f>IFERROR(__xludf.DUMMYFUNCTION("IF($D63=""Euro"",'Data in Local Currency'!E65,
IF($D63=""Dolar"",'Data in Local Currency'!E65*GOOGLEFINANCE(""Currency:USDEUR""),
IF($D63=""Franco Suíço"",'Data in Local Currency'!E65*GOOGLEFINANCE(""Currency:CHFEUR""),
IF($D63=""Libra Esterlina"", 'Data "&amp;"in Local Currency'!E65*GOOGLEFINANCE(""Currency:GBPEUR""),
IF($D63=""Iene"",'Data in Local Currency'!E65*GOOGLEFINANCE(""Currency:JPYEUR""),
IF($D63=""HKD"",'Data in Local Currency'!E65*GOOGLEFINANCE(""Currency:HKDEUR""),
IF($D63=""KRW"",'Data in Local Cu"&amp;"rrency'!E65*GOOGLEFINANCE(""Currency:KRWEUR""),"""")))))))"),896.11515)</f>
        <v>896.11515</v>
      </c>
      <c r="M63" s="20">
        <f>'Data in Local Currency'!F65</f>
        <v>1999</v>
      </c>
      <c r="N63" s="15">
        <f>IFERROR(__xludf.DUMMYFUNCTION("IF($D63=""Euro"",'Data in Local Currency'!G65,
IF($D63=""Dolar"",'Data in Local Currency'!G65*GOOGLEFINANCE(""Currency:USDEUR""),
IF($D63=""Franco Suíço"",'Data in Local Currency'!G65*GOOGLEFINANCE(""Currency:CHFEUR""),
IF($D63=""Libra Esterlina"", 'Data "&amp;"in Local Currency'!G65*GOOGLEFINANCE(""Currency:GBPEUR""),
IF($D63=""Iene"",'Data in Local Currency'!G65*GOOGLEFINANCE(""Currency:JPYEUR""),
IF($D63=""HKD"",'Data in Local Currency'!G65*GOOGLEFINANCE(""Currency:HKDEUR""),
IF($D63=""KRW"",'Data in Local Cu"&amp;"rrency'!G65*GOOGLEFINANCE(""Currency:KRWEUR""),"""")))))))"),1698.7050359999998)</f>
        <v>1698.705036</v>
      </c>
      <c r="O63" s="15">
        <v>1986.34</v>
      </c>
      <c r="P63" s="11">
        <v>9.98</v>
      </c>
      <c r="Q63" s="17">
        <v>2.95</v>
      </c>
      <c r="R63" s="11" t="s">
        <v>32</v>
      </c>
      <c r="S63" s="17"/>
    </row>
    <row r="64">
      <c r="A64" s="11" t="s">
        <v>217</v>
      </c>
      <c r="B64" s="11" t="s">
        <v>218</v>
      </c>
      <c r="C64" s="11" t="s">
        <v>219</v>
      </c>
      <c r="D64" s="12" t="s">
        <v>26</v>
      </c>
      <c r="E64" s="11">
        <v>4.0</v>
      </c>
      <c r="F64" s="11">
        <v>4.0</v>
      </c>
      <c r="G64" s="11">
        <v>3.5</v>
      </c>
      <c r="H64" s="13"/>
      <c r="I64" s="11"/>
      <c r="J64" s="11"/>
      <c r="K64" s="14"/>
      <c r="L64" s="15">
        <f>IFERROR(__xludf.DUMMYFUNCTION("IF($D64=""Euro"",'Data in Local Currency'!E66,
IF($D64=""Dolar"",'Data in Local Currency'!E66*GOOGLEFINANCE(""Currency:USDEUR""),
IF($D64=""Franco Suíço"",'Data in Local Currency'!E66*GOOGLEFINANCE(""Currency:CHFEUR""),
IF($D64=""Libra Esterlina"", 'Data "&amp;"in Local Currency'!E66*GOOGLEFINANCE(""Currency:GBPEUR""),
IF($D64=""Iene"",'Data in Local Currency'!E66*GOOGLEFINANCE(""Currency:JPYEUR""),
IF($D64=""HKD"",'Data in Local Currency'!E66*GOOGLEFINANCE(""Currency:HKDEUR""),
IF($D64=""KRW"",'Data in Local Cu"&amp;"rrency'!E66*GOOGLEFINANCE(""Currency:KRWEUR""),"""")))))))"),13.6)</f>
        <v>13.6</v>
      </c>
      <c r="M64" s="20">
        <f>'Data in Local Currency'!F66</f>
        <v>2000</v>
      </c>
      <c r="N64" s="15">
        <f>IFERROR(__xludf.DUMMYFUNCTION("IF($D64=""Euro"",'Data in Local Currency'!G66,
IF($D64=""Dolar"",'Data in Local Currency'!G66*GOOGLEFINANCE(""Currency:USDEUR""),
IF($D64=""Franco Suíço"",'Data in Local Currency'!G66*GOOGLEFINANCE(""Currency:CHFEUR""),
IF($D64=""Libra Esterlina"", 'Data "&amp;"in Local Currency'!G66*GOOGLEFINANCE(""Currency:GBPEUR""),
IF($D64=""Iene"",'Data in Local Currency'!G66*GOOGLEFINANCE(""Currency:JPYEUR""),
IF($D64=""HKD"",'Data in Local Currency'!G66*GOOGLEFINANCE(""Currency:HKDEUR""),
IF($D64=""KRW"",'Data in Local Cu"&amp;"rrency'!G66*GOOGLEFINANCE(""Currency:KRWEUR""),"""")))))))"),3.42)</f>
        <v>3.42</v>
      </c>
      <c r="O64" s="15">
        <v>5.39</v>
      </c>
      <c r="P64" s="11">
        <v>0.24</v>
      </c>
      <c r="Q64" s="17">
        <v>0.03</v>
      </c>
      <c r="R64" s="11" t="s">
        <v>32</v>
      </c>
      <c r="S64" s="17"/>
    </row>
    <row r="65">
      <c r="A65" s="11" t="s">
        <v>220</v>
      </c>
      <c r="B65" s="11" t="s">
        <v>221</v>
      </c>
      <c r="C65" s="11" t="s">
        <v>222</v>
      </c>
      <c r="D65" s="12" t="s">
        <v>26</v>
      </c>
      <c r="E65" s="11">
        <v>3.9</v>
      </c>
      <c r="F65" s="11">
        <v>3.7</v>
      </c>
      <c r="G65" s="11">
        <v>3.3</v>
      </c>
      <c r="H65" s="13"/>
      <c r="I65" s="11"/>
      <c r="J65" s="11"/>
      <c r="K65" s="14"/>
      <c r="L65" s="15">
        <f>IFERROR(__xludf.DUMMYFUNCTION("IF($D65=""Euro"",'Data in Local Currency'!E67,
IF($D65=""Dolar"",'Data in Local Currency'!E67*GOOGLEFINANCE(""Currency:USDEUR""),
IF($D65=""Franco Suíço"",'Data in Local Currency'!E67*GOOGLEFINANCE(""Currency:CHFEUR""),
IF($D65=""Libra Esterlina"", 'Data "&amp;"in Local Currency'!E67*GOOGLEFINANCE(""Currency:GBPEUR""),
IF($D65=""Iene"",'Data in Local Currency'!E67*GOOGLEFINANCE(""Currency:JPYEUR""),
IF($D65=""HKD"",'Data in Local Currency'!E67*GOOGLEFINANCE(""Currency:HKDEUR""),
IF($D65=""KRW"",'Data in Local Cu"&amp;"rrency'!E67*GOOGLEFINANCE(""Currency:KRWEUR""),"""")))))))"),16.16)</f>
        <v>16.16</v>
      </c>
      <c r="M65" s="20">
        <f>'Data in Local Currency'!F67</f>
        <v>2002</v>
      </c>
      <c r="N65" s="15">
        <f>IFERROR(__xludf.DUMMYFUNCTION("IF($D65=""Euro"",'Data in Local Currency'!G67,
IF($D65=""Dolar"",'Data in Local Currency'!G67*GOOGLEFINANCE(""Currency:USDEUR""),
IF($D65=""Franco Suíço"",'Data in Local Currency'!G67*GOOGLEFINANCE(""Currency:CHFEUR""),
IF($D65=""Libra Esterlina"", 'Data "&amp;"in Local Currency'!G67*GOOGLEFINANCE(""Currency:GBPEUR""),
IF($D65=""Iene"",'Data in Local Currency'!G67*GOOGLEFINANCE(""Currency:JPYEUR""),
IF($D65=""HKD"",'Data in Local Currency'!G67*GOOGLEFINANCE(""Currency:HKDEUR""),
IF($D65=""KRW"",'Data in Local Cu"&amp;"rrency'!G67*GOOGLEFINANCE(""Currency:KRWEUR""),"""")))))))"),13.14)</f>
        <v>13.14</v>
      </c>
      <c r="O65" s="15">
        <v>11.05</v>
      </c>
      <c r="P65" s="11">
        <v>22.66</v>
      </c>
      <c r="Q65" s="17"/>
      <c r="R65" s="11" t="s">
        <v>27</v>
      </c>
      <c r="S65" s="17">
        <v>1.0</v>
      </c>
    </row>
    <row r="66">
      <c r="A66" s="11" t="s">
        <v>223</v>
      </c>
      <c r="B66" s="11" t="s">
        <v>224</v>
      </c>
      <c r="C66" s="11" t="s">
        <v>225</v>
      </c>
      <c r="D66" s="12" t="s">
        <v>26</v>
      </c>
      <c r="E66" s="11">
        <v>3.5</v>
      </c>
      <c r="F66" s="11">
        <v>3.5</v>
      </c>
      <c r="G66" s="11">
        <v>3.2</v>
      </c>
      <c r="H66" s="13"/>
      <c r="I66" s="11"/>
      <c r="J66" s="11"/>
      <c r="K66" s="14"/>
      <c r="L66" s="15">
        <f>IFERROR(__xludf.DUMMYFUNCTION("IF($D66=""Euro"",'Data in Local Currency'!E68,
IF($D66=""Dolar"",'Data in Local Currency'!E68*GOOGLEFINANCE(""Currency:USDEUR""),
IF($D66=""Franco Suíço"",'Data in Local Currency'!E68*GOOGLEFINANCE(""Currency:CHFEUR""),
IF($D66=""Libra Esterlina"", 'Data "&amp;"in Local Currency'!E68*GOOGLEFINANCE(""Currency:GBPEUR""),
IF($D66=""Iene"",'Data in Local Currency'!E68*GOOGLEFINANCE(""Currency:JPYEUR""),
IF($D66=""HKD"",'Data in Local Currency'!E68*GOOGLEFINANCE(""Currency:HKDEUR""),
IF($D66=""KRW"",'Data in Local Cu"&amp;"rrency'!E68*GOOGLEFINANCE(""Currency:KRWEUR""),"""")))))))"),9.75)</f>
        <v>9.75</v>
      </c>
      <c r="M66" s="20">
        <f>'Data in Local Currency'!F68</f>
        <v>2007</v>
      </c>
      <c r="N66" s="15">
        <f>IFERROR(__xludf.DUMMYFUNCTION("IF($D66=""Euro"",'Data in Local Currency'!G68,
IF($D66=""Dolar"",'Data in Local Currency'!G68*GOOGLEFINANCE(""Currency:USDEUR""),
IF($D66=""Franco Suíço"",'Data in Local Currency'!G68*GOOGLEFINANCE(""Currency:CHFEUR""),
IF($D66=""Libra Esterlina"", 'Data "&amp;"in Local Currency'!G68*GOOGLEFINANCE(""Currency:GBPEUR""),
IF($D66=""Iene"",'Data in Local Currency'!G68*GOOGLEFINANCE(""Currency:JPYEUR""),
IF($D66=""HKD"",'Data in Local Currency'!G68*GOOGLEFINANCE(""Currency:HKDEUR""),
IF($D66=""KRW"",'Data in Local Cu"&amp;"rrency'!G68*GOOGLEFINANCE(""Currency:KRWEUR""),"""")))))))"),21.26)</f>
        <v>21.26</v>
      </c>
      <c r="O66" s="15">
        <v>26.64</v>
      </c>
      <c r="P66" s="11">
        <v>4.98</v>
      </c>
      <c r="Q66" s="17">
        <v>0.97</v>
      </c>
      <c r="R66" s="19" t="s">
        <v>32</v>
      </c>
      <c r="S66" s="17"/>
    </row>
    <row r="67">
      <c r="A67" s="11" t="s">
        <v>226</v>
      </c>
      <c r="B67" s="11" t="s">
        <v>227</v>
      </c>
      <c r="C67" s="11" t="s">
        <v>228</v>
      </c>
      <c r="D67" s="12" t="s">
        <v>229</v>
      </c>
      <c r="E67" s="11">
        <v>4.1</v>
      </c>
      <c r="F67" s="11">
        <v>3.8</v>
      </c>
      <c r="G67" s="11">
        <v>3.5</v>
      </c>
      <c r="H67" s="13"/>
      <c r="I67" s="11"/>
      <c r="J67" s="11"/>
      <c r="K67" s="14"/>
      <c r="L67" s="15">
        <f>IFERROR(__xludf.DUMMYFUNCTION("IF($D67=""Euro"",'Data in Local Currency'!E69,
IF($D67=""Dolar"",'Data in Local Currency'!E69*GOOGLEFINANCE(""Currency:USDEUR""),
IF($D67=""Franco Suíço"",'Data in Local Currency'!E69*GOOGLEFINANCE(""Currency:CHFEUR""),
IF($D67=""Libra Esterlina"", 'Data "&amp;"in Local Currency'!E69*GOOGLEFINANCE(""Currency:GBPEUR""),
IF($D67=""Iene"",'Data in Local Currency'!E69*GOOGLEFINANCE(""Currency:JPYEUR""),
IF($D67=""HKD"",'Data in Local Currency'!E69*GOOGLEFINANCE(""Currency:HKDEUR""),
IF($D67=""KRW"",'Data in Local Cu"&amp;"rrency'!E69*GOOGLEFINANCE(""Currency:KRWEUR""),"""")))))))"),0.728323748)</f>
        <v>0.728323748</v>
      </c>
      <c r="M67" s="20">
        <f>'Data in Local Currency'!F69</f>
        <v>2000</v>
      </c>
      <c r="N67" s="15">
        <f>IFERROR(__xludf.DUMMYFUNCTION("IF($D67=""Euro"",'Data in Local Currency'!G69,
IF($D67=""Dolar"",'Data in Local Currency'!G69*GOOGLEFINANCE(""Currency:USDEUR""),
IF($D67=""Franco Suíço"",'Data in Local Currency'!G69*GOOGLEFINANCE(""Currency:CHFEUR""),
IF($D67=""Libra Esterlina"", 'Data "&amp;"in Local Currency'!G69*GOOGLEFINANCE(""Currency:GBPEUR""),
IF($D67=""Iene"",'Data in Local Currency'!G69*GOOGLEFINANCE(""Currency:JPYEUR""),
IF($D67=""HKD"",'Data in Local Currency'!G69*GOOGLEFINANCE(""Currency:HKDEUR""),
IF($D67=""KRW"",'Data in Local Cu"&amp;"rrency'!G69*GOOGLEFINANCE(""Currency:KRWEUR""),"""")))))))"),1.30736812)</f>
        <v>1.30736812</v>
      </c>
      <c r="O67" s="15">
        <v>0.72</v>
      </c>
      <c r="P67" s="11">
        <v>1.13</v>
      </c>
      <c r="Q67" s="17">
        <v>0.12</v>
      </c>
      <c r="R67" s="11" t="s">
        <v>27</v>
      </c>
      <c r="S67" s="17">
        <v>0.0</v>
      </c>
    </row>
    <row r="68">
      <c r="A68" s="11" t="s">
        <v>230</v>
      </c>
      <c r="B68" s="11" t="s">
        <v>231</v>
      </c>
      <c r="C68" s="11" t="s">
        <v>232</v>
      </c>
      <c r="D68" s="12" t="s">
        <v>26</v>
      </c>
      <c r="E68" s="11">
        <v>4.0</v>
      </c>
      <c r="F68" s="11">
        <v>3.7</v>
      </c>
      <c r="G68" s="11">
        <v>3.5</v>
      </c>
      <c r="H68" s="13">
        <v>2.8</v>
      </c>
      <c r="I68" s="11">
        <v>12.0</v>
      </c>
      <c r="J68" s="11">
        <v>65.0</v>
      </c>
      <c r="K68" s="14">
        <v>64.0</v>
      </c>
      <c r="L68" s="15">
        <f>IFERROR(__xludf.DUMMYFUNCTION("IF($D68=""Euro"",'Data in Local Currency'!E70,
IF($D68=""Dolar"",'Data in Local Currency'!E70*GOOGLEFINANCE(""Currency:USDEUR""),
IF($D68=""Franco Suíço"",'Data in Local Currency'!E70*GOOGLEFINANCE(""Currency:CHFEUR""),
IF($D68=""Libra Esterlina"", 'Data "&amp;"in Local Currency'!E70*GOOGLEFINANCE(""Currency:GBPEUR""),
IF($D68=""Iene"",'Data in Local Currency'!E70*GOOGLEFINANCE(""Currency:JPYEUR""),
IF($D68=""HKD"",'Data in Local Currency'!E70*GOOGLEFINANCE(""Currency:HKDEUR""),
IF($D68=""KRW"",'Data in Local Cu"&amp;"rrency'!E70*GOOGLEFINANCE(""Currency:KRWEUR""),"""")))))))"),46.25)</f>
        <v>46.25</v>
      </c>
      <c r="M68" s="20">
        <f>'Data in Local Currency'!F70</f>
        <v>2005</v>
      </c>
      <c r="N68" s="15">
        <f>IFERROR(__xludf.DUMMYFUNCTION("IF($D68=""Euro"",'Data in Local Currency'!G70,
IF($D68=""Dolar"",'Data in Local Currency'!G70*GOOGLEFINANCE(""Currency:USDEUR""),
IF($D68=""Franco Suíço"",'Data in Local Currency'!G70*GOOGLEFINANCE(""Currency:CHFEUR""),
IF($D68=""Libra Esterlina"", 'Data "&amp;"in Local Currency'!G70*GOOGLEFINANCE(""Currency:GBPEUR""),
IF($D68=""Iene"",'Data in Local Currency'!G70*GOOGLEFINANCE(""Currency:JPYEUR""),
IF($D68=""HKD"",'Data in Local Currency'!G70*GOOGLEFINANCE(""Currency:HKDEUR""),
IF($D68=""KRW"",'Data in Local Cu"&amp;"rrency'!G70*GOOGLEFINANCE(""Currency:KRWEUR""),"""")))))))"),21.73)</f>
        <v>21.73</v>
      </c>
      <c r="O68" s="15">
        <v>30.56</v>
      </c>
      <c r="P68" s="11">
        <v>69.73</v>
      </c>
      <c r="Q68" s="17">
        <v>17.67</v>
      </c>
      <c r="R68" s="11" t="s">
        <v>27</v>
      </c>
      <c r="S68" s="17">
        <v>2.0</v>
      </c>
    </row>
    <row r="69">
      <c r="A69" s="11" t="s">
        <v>233</v>
      </c>
      <c r="B69" s="11" t="s">
        <v>234</v>
      </c>
      <c r="C69" s="11" t="s">
        <v>235</v>
      </c>
      <c r="D69" s="12" t="s">
        <v>31</v>
      </c>
      <c r="E69" s="11">
        <v>4.1</v>
      </c>
      <c r="F69" s="11">
        <v>4.1</v>
      </c>
      <c r="G69" s="11">
        <v>3.7</v>
      </c>
      <c r="H69" s="13">
        <v>4.0</v>
      </c>
      <c r="I69" s="11">
        <v>24.0</v>
      </c>
      <c r="J69" s="11">
        <v>76.0</v>
      </c>
      <c r="K69" s="14">
        <v>73.0</v>
      </c>
      <c r="L69" s="15">
        <f>IFERROR(__xludf.DUMMYFUNCTION("IF($D69=""Euro"",'Data in Local Currency'!E71,
IF($D69=""Dolar"",'Data in Local Currency'!E71*GOOGLEFINANCE(""Currency:USDEUR""),
IF($D69=""Franco Suíço"",'Data in Local Currency'!E71*GOOGLEFINANCE(""Currency:CHFEUR""),
IF($D69=""Libra Esterlina"", 'Data "&amp;"in Local Currency'!E71*GOOGLEFINANCE(""Currency:GBPEUR""),
IF($D69=""Iene"",'Data in Local Currency'!E71*GOOGLEFINANCE(""Currency:JPYEUR""),
IF($D69=""HKD"",'Data in Local Currency'!E71*GOOGLEFINANCE(""Currency:HKDEUR""),
IF($D69=""KRW"",'Data in Local Cu"&amp;"rrency'!E71*GOOGLEFINANCE(""Currency:KRWEUR""),"""")))))))"),41.391)</f>
        <v>41.391</v>
      </c>
      <c r="M69" s="20">
        <f>'Data in Local Currency'!F71</f>
        <v>2013</v>
      </c>
      <c r="N69" s="15">
        <f>IFERROR(__xludf.DUMMYFUNCTION("IF($D69=""Euro"",'Data in Local Currency'!G71,
IF($D69=""Dolar"",'Data in Local Currency'!G71*GOOGLEFINANCE(""Currency:USDEUR""),
IF($D69=""Franco Suíço"",'Data in Local Currency'!G71*GOOGLEFINANCE(""Currency:CHFEUR""),
IF($D69=""Libra Esterlina"", 'Data "&amp;"in Local Currency'!G71*GOOGLEFINANCE(""Currency:GBPEUR""),
IF($D69=""Iene"",'Data in Local Currency'!G71*GOOGLEFINANCE(""Currency:JPYEUR""),
IF($D69=""HKD"",'Data in Local Currency'!G71*GOOGLEFINANCE(""Currency:HKDEUR""),
IF($D69=""KRW"",'Data in Local Cu"&amp;"rrency'!G71*GOOGLEFINANCE(""Currency:KRWEUR""),"""")))))))"),54.24060599999999)</f>
        <v>54.240606</v>
      </c>
      <c r="O69" s="15">
        <v>136.59</v>
      </c>
      <c r="P69" s="11">
        <v>5.3</v>
      </c>
      <c r="Q69" s="17">
        <v>1.13</v>
      </c>
      <c r="R69" s="11" t="s">
        <v>27</v>
      </c>
      <c r="S69" s="17">
        <v>3.0</v>
      </c>
    </row>
    <row r="70">
      <c r="A70" s="11" t="s">
        <v>236</v>
      </c>
      <c r="B70" s="11" t="s">
        <v>237</v>
      </c>
      <c r="C70" s="11" t="s">
        <v>238</v>
      </c>
      <c r="D70" s="12" t="s">
        <v>229</v>
      </c>
      <c r="E70" s="11">
        <v>4.1</v>
      </c>
      <c r="F70" s="11">
        <v>4.1</v>
      </c>
      <c r="G70" s="11">
        <v>3.7</v>
      </c>
      <c r="H70" s="13">
        <v>2.6</v>
      </c>
      <c r="I70" s="11">
        <v>0.0</v>
      </c>
      <c r="J70" s="11">
        <v>64.0</v>
      </c>
      <c r="K70" s="14">
        <v>53.0</v>
      </c>
      <c r="L70" s="15">
        <f>IFERROR(__xludf.DUMMYFUNCTION("IF($D70=""Euro"",'Data in Local Currency'!E72,
IF($D70=""Dolar"",'Data in Local Currency'!E72*GOOGLEFINANCE(""Currency:USDEUR""),
IF($D70=""Franco Suíço"",'Data in Local Currency'!E72*GOOGLEFINANCE(""Currency:CHFEUR""),
IF($D70=""Libra Esterlina"", 'Data "&amp;"in Local Currency'!E72*GOOGLEFINANCE(""Currency:GBPEUR""),
IF($D70=""Iene"",'Data in Local Currency'!E72*GOOGLEFINANCE(""Currency:JPYEUR""),
IF($D70=""HKD"",'Data in Local Currency'!E72*GOOGLEFINANCE(""Currency:HKDEUR""),
IF($D70=""KRW"",'Data in Local Cu"&amp;"rrency'!E72*GOOGLEFINANCE(""Currency:KRWEUR""),"""")))))))"),1.1231160599999999)</f>
        <v>1.12311606</v>
      </c>
      <c r="M70" s="20">
        <f>'Data in Local Currency'!F72</f>
        <v>2009</v>
      </c>
      <c r="N70" s="15">
        <f>IFERROR(__xludf.DUMMYFUNCTION("IF($D70=""Euro"",'Data in Local Currency'!G72,
IF($D70=""Dolar"",'Data in Local Currency'!G72*GOOGLEFINANCE(""Currency:USDEUR""),
IF($D70=""Franco Suíço"",'Data in Local Currency'!G72*GOOGLEFINANCE(""Currency:CHFEUR""),
IF($D70=""Libra Esterlina"", 'Data "&amp;"in Local Currency'!G72*GOOGLEFINANCE(""Currency:GBPEUR""),
IF($D70=""Iene"",'Data in Local Currency'!G72*GOOGLEFINANCE(""Currency:JPYEUR""),
IF($D70=""HKD"",'Data in Local Currency'!G72*GOOGLEFINANCE(""Currency:HKDEUR""),
IF($D70=""KRW"",'Data in Local Cu"&amp;"rrency'!G72*GOOGLEFINANCE(""Currency:KRWEUR""),"""")))))))"),2.0068218)</f>
        <v>2.0068218</v>
      </c>
      <c r="O70" s="15">
        <v>0.67</v>
      </c>
      <c r="P70" s="11">
        <v>1.37</v>
      </c>
      <c r="Q70" s="17">
        <v>0.09</v>
      </c>
      <c r="R70" s="11" t="s">
        <v>32</v>
      </c>
      <c r="S70" s="17"/>
    </row>
    <row r="71">
      <c r="A71" s="11" t="s">
        <v>239</v>
      </c>
      <c r="B71" s="11" t="s">
        <v>240</v>
      </c>
      <c r="C71" s="11" t="s">
        <v>241</v>
      </c>
      <c r="D71" s="12" t="s">
        <v>26</v>
      </c>
      <c r="E71" s="11">
        <v>4.0</v>
      </c>
      <c r="F71" s="11">
        <v>3.9</v>
      </c>
      <c r="G71" s="11">
        <v>3.6</v>
      </c>
      <c r="H71" s="13">
        <v>3.1</v>
      </c>
      <c r="I71" s="11">
        <v>0.0</v>
      </c>
      <c r="J71" s="11">
        <v>70.0</v>
      </c>
      <c r="K71" s="14">
        <v>85.0</v>
      </c>
      <c r="L71" s="15">
        <f>IFERROR(__xludf.DUMMYFUNCTION("IF($D71=""Euro"",'Data in Local Currency'!E73,
IF($D71=""Dolar"",'Data in Local Currency'!E73*GOOGLEFINANCE(""Currency:USDEUR""),
IF($D71=""Franco Suíço"",'Data in Local Currency'!E73*GOOGLEFINANCE(""Currency:CHFEUR""),
IF($D71=""Libra Esterlina"", 'Data "&amp;"in Local Currency'!E73*GOOGLEFINANCE(""Currency:GBPEUR""),
IF($D71=""Iene"",'Data in Local Currency'!E73*GOOGLEFINANCE(""Currency:JPYEUR""),
IF($D71=""HKD"",'Data in Local Currency'!E73*GOOGLEFINANCE(""Currency:HKDEUR""),
IF($D71=""KRW"",'Data in Local Cu"&amp;"rrency'!E73*GOOGLEFINANCE(""Currency:KRWEUR""),"""")))))))"),29.5119)</f>
        <v>29.5119</v>
      </c>
      <c r="M71" s="20">
        <f>'Data in Local Currency'!F73</f>
        <v>2000</v>
      </c>
      <c r="N71" s="15">
        <f>IFERROR(__xludf.DUMMYFUNCTION("IF($D71=""Euro"",'Data in Local Currency'!G73,
IF($D71=""Dolar"",'Data in Local Currency'!G73*GOOGLEFINANCE(""Currency:USDEUR""),
IF($D71=""Franco Suíço"",'Data in Local Currency'!G73*GOOGLEFINANCE(""Currency:CHFEUR""),
IF($D71=""Libra Esterlina"", 'Data "&amp;"in Local Currency'!G73*GOOGLEFINANCE(""Currency:GBPEUR""),
IF($D71=""Iene"",'Data in Local Currency'!G73*GOOGLEFINANCE(""Currency:JPYEUR""),
IF($D71=""HKD"",'Data in Local Currency'!G73*GOOGLEFINANCE(""Currency:HKDEUR""),
IF($D71=""KRW"",'Data in Local Cu"&amp;"rrency'!G73*GOOGLEFINANCE(""Currency:KRWEUR""),"""")))))))"),10.155)</f>
        <v>10.155</v>
      </c>
      <c r="O71" s="15">
        <v>4.25</v>
      </c>
      <c r="P71" s="11">
        <v>39.28</v>
      </c>
      <c r="Q71" s="17">
        <v>12.39</v>
      </c>
      <c r="R71" s="11" t="s">
        <v>27</v>
      </c>
      <c r="S71" s="17">
        <v>6.0</v>
      </c>
    </row>
    <row r="72">
      <c r="A72" s="11" t="s">
        <v>242</v>
      </c>
      <c r="B72" s="11" t="s">
        <v>243</v>
      </c>
      <c r="C72" s="11" t="s">
        <v>244</v>
      </c>
      <c r="D72" s="12" t="s">
        <v>26</v>
      </c>
      <c r="E72" s="11">
        <v>3.5</v>
      </c>
      <c r="F72" s="11">
        <v>3.4</v>
      </c>
      <c r="G72" s="11">
        <v>3.0</v>
      </c>
      <c r="H72" s="13"/>
      <c r="I72" s="11"/>
      <c r="J72" s="11"/>
      <c r="K72" s="14"/>
      <c r="L72" s="15">
        <f>IFERROR(__xludf.DUMMYFUNCTION("IF($D72=""Euro"",'Data in Local Currency'!E74,
IF($D72=""Dolar"",'Data in Local Currency'!E74*GOOGLEFINANCE(""Currency:USDEUR""),
IF($D72=""Franco Suíço"",'Data in Local Currency'!E74*GOOGLEFINANCE(""Currency:CHFEUR""),
IF($D72=""Libra Esterlina"", 'Data "&amp;"in Local Currency'!E74*GOOGLEFINANCE(""Currency:GBPEUR""),
IF($D72=""Iene"",'Data in Local Currency'!E74*GOOGLEFINANCE(""Currency:JPYEUR""),
IF($D72=""HKD"",'Data in Local Currency'!E74*GOOGLEFINANCE(""Currency:HKDEUR""),
IF($D72=""KRW"",'Data in Local Cu"&amp;"rrency'!E74*GOOGLEFINANCE(""Currency:KRWEUR""),"""")))))))"),10.45)</f>
        <v>10.45</v>
      </c>
      <c r="M72" s="20">
        <f>'Data in Local Currency'!F74</f>
        <v>1998</v>
      </c>
      <c r="N72" s="15">
        <f>IFERROR(__xludf.DUMMYFUNCTION("IF($D72=""Euro"",'Data in Local Currency'!G74,
IF($D72=""Dolar"",'Data in Local Currency'!G74*GOOGLEFINANCE(""Currency:USDEUR""),
IF($D72=""Franco Suíço"",'Data in Local Currency'!G74*GOOGLEFINANCE(""Currency:CHFEUR""),
IF($D72=""Libra Esterlina"", 'Data "&amp;"in Local Currency'!G74*GOOGLEFINANCE(""Currency:GBPEUR""),
IF($D72=""Iene"",'Data in Local Currency'!G74*GOOGLEFINANCE(""Currency:JPYEUR""),
IF($D72=""HKD"",'Data in Local Currency'!G74*GOOGLEFINANCE(""Currency:HKDEUR""),
IF($D72=""KRW"",'Data in Local Cu"&amp;"rrency'!G74*GOOGLEFINANCE(""Currency:KRWEUR""),"""")))))))"),20.12)</f>
        <v>20.12</v>
      </c>
      <c r="O72" s="15">
        <v>10.05</v>
      </c>
      <c r="P72" s="11">
        <v>1.46</v>
      </c>
      <c r="Q72" s="17">
        <v>0.16</v>
      </c>
      <c r="R72" s="11" t="s">
        <v>27</v>
      </c>
      <c r="S72" s="17">
        <v>1.0</v>
      </c>
    </row>
    <row r="73">
      <c r="A73" s="11" t="s">
        <v>245</v>
      </c>
      <c r="B73" s="11" t="s">
        <v>246</v>
      </c>
      <c r="C73" s="11" t="s">
        <v>247</v>
      </c>
      <c r="D73" s="12" t="s">
        <v>26</v>
      </c>
      <c r="E73" s="11">
        <v>3.5</v>
      </c>
      <c r="F73" s="11">
        <v>2.8</v>
      </c>
      <c r="G73" s="11">
        <v>3.1</v>
      </c>
      <c r="H73" s="13"/>
      <c r="I73" s="11"/>
      <c r="J73" s="11"/>
      <c r="K73" s="14"/>
      <c r="L73" s="15">
        <f>IFERROR(__xludf.DUMMYFUNCTION("IF($D73=""Euro"",'Data in Local Currency'!E75,
IF($D73=""Dolar"",'Data in Local Currency'!E75*GOOGLEFINANCE(""Currency:USDEUR""),
IF($D73=""Franco Suíço"",'Data in Local Currency'!E75*GOOGLEFINANCE(""Currency:CHFEUR""),
IF($D73=""Libra Esterlina"", 'Data "&amp;"in Local Currency'!E75*GOOGLEFINANCE(""Currency:GBPEUR""),
IF($D73=""Iene"",'Data in Local Currency'!E75*GOOGLEFINANCE(""Currency:JPYEUR""),
IF($D73=""HKD"",'Data in Local Currency'!E75*GOOGLEFINANCE(""Currency:HKDEUR""),
IF($D73=""KRW"",'Data in Local Cu"&amp;"rrency'!E75*GOOGLEFINANCE(""Currency:KRWEUR""),"""")))))))"),37.9)</f>
        <v>37.9</v>
      </c>
      <c r="M73" s="20">
        <f>'Data in Local Currency'!F75</f>
        <v>2013</v>
      </c>
      <c r="N73" s="15">
        <f>IFERROR(__xludf.DUMMYFUNCTION("IF($D73=""Euro"",'Data in Local Currency'!G75,
IF($D73=""Dolar"",'Data in Local Currency'!G75*GOOGLEFINANCE(""Currency:USDEUR""),
IF($D73=""Franco Suíço"",'Data in Local Currency'!G75*GOOGLEFINANCE(""Currency:CHFEUR""),
IF($D73=""Libra Esterlina"", 'Data "&amp;"in Local Currency'!G75*GOOGLEFINANCE(""Currency:GBPEUR""),
IF($D73=""Iene"",'Data in Local Currency'!G75*GOOGLEFINANCE(""Currency:JPYEUR""),
IF($D73=""HKD"",'Data in Local Currency'!G75*GOOGLEFINANCE(""Currency:HKDEUR""),
IF($D73=""KRW"",'Data in Local Cu"&amp;"rrency'!G75*GOOGLEFINANCE(""Currency:KRWEUR""),"""")))))))"),18.02)</f>
        <v>18.02</v>
      </c>
      <c r="O73" s="15">
        <v>31.12</v>
      </c>
      <c r="P73" s="11">
        <v>5.75</v>
      </c>
      <c r="Q73" s="17">
        <v>2.3</v>
      </c>
      <c r="R73" s="11" t="s">
        <v>32</v>
      </c>
      <c r="S73" s="17"/>
    </row>
    <row r="74">
      <c r="A74" s="11" t="s">
        <v>248</v>
      </c>
      <c r="B74" s="11" t="s">
        <v>249</v>
      </c>
      <c r="C74" s="11" t="s">
        <v>250</v>
      </c>
      <c r="D74" s="12" t="s">
        <v>126</v>
      </c>
      <c r="E74" s="11">
        <v>5.0</v>
      </c>
      <c r="F74" s="11">
        <v>4.0</v>
      </c>
      <c r="G74" s="11">
        <v>4.0</v>
      </c>
      <c r="H74" s="13"/>
      <c r="I74" s="11"/>
      <c r="J74" s="11"/>
      <c r="K74" s="14"/>
      <c r="L74" s="15">
        <f>IFERROR(__xludf.DUMMYFUNCTION("IF($D74=""Euro"",'Data in Local Currency'!E76,
IF($D74=""Dolar"",'Data in Local Currency'!E76*GOOGLEFINANCE(""Currency:USDEUR""),
IF($D74=""Franco Suíço"",'Data in Local Currency'!E76*GOOGLEFINANCE(""Currency:CHFEUR""),
IF($D74=""Libra Esterlina"", 'Data "&amp;"in Local Currency'!E76*GOOGLEFINANCE(""Currency:GBPEUR""),
IF($D74=""Iene"",'Data in Local Currency'!E76*GOOGLEFINANCE(""Currency:JPYEUR""),
IF($D74=""HKD"",'Data in Local Currency'!E76*GOOGLEFINANCE(""Currency:HKDEUR""),
IF($D74=""KRW"",'Data in Local Cu"&amp;"rrency'!E76*GOOGLEFINANCE(""Currency:KRWEUR""),"""")))))))"),24.336563520000002)</f>
        <v>24.33656352</v>
      </c>
      <c r="M74" s="20">
        <f>'Data in Local Currency'!F76</f>
        <v>2000</v>
      </c>
      <c r="N74" s="15">
        <f>IFERROR(__xludf.DUMMYFUNCTION("IF($D74=""Euro"",'Data in Local Currency'!G76,
IF($D74=""Dolar"",'Data in Local Currency'!G76*GOOGLEFINANCE(""Currency:USDEUR""),
IF($D74=""Franco Suíço"",'Data in Local Currency'!G76*GOOGLEFINANCE(""Currency:CHFEUR""),
IF($D74=""Libra Esterlina"", 'Data "&amp;"in Local Currency'!G76*GOOGLEFINANCE(""Currency:GBPEUR""),
IF($D74=""Iene"",'Data in Local Currency'!G76*GOOGLEFINANCE(""Currency:JPYEUR""),
IF($D74=""HKD"",'Data in Local Currency'!G76*GOOGLEFINANCE(""Currency:HKDEUR""),
IF($D74=""KRW"",'Data in Local Cu"&amp;"rrency'!G76*GOOGLEFINANCE(""Currency:KRWEUR""),"""")))))))"),55.232127696)</f>
        <v>55.2321277</v>
      </c>
      <c r="O74" s="15">
        <v>37.59</v>
      </c>
      <c r="P74" s="11">
        <v>6.62</v>
      </c>
      <c r="Q74" s="17">
        <v>0.52</v>
      </c>
      <c r="R74" s="11" t="s">
        <v>32</v>
      </c>
      <c r="S74" s="17"/>
    </row>
    <row r="75">
      <c r="A75" s="11" t="s">
        <v>251</v>
      </c>
      <c r="B75" s="11" t="s">
        <v>252</v>
      </c>
      <c r="C75" s="11" t="s">
        <v>253</v>
      </c>
      <c r="D75" s="12" t="s">
        <v>31</v>
      </c>
      <c r="E75" s="11">
        <v>3.3</v>
      </c>
      <c r="F75" s="11">
        <v>3.3</v>
      </c>
      <c r="G75" s="11">
        <v>2.7</v>
      </c>
      <c r="H75" s="13"/>
      <c r="I75" s="11"/>
      <c r="J75" s="11"/>
      <c r="K75" s="14"/>
      <c r="L75" s="15">
        <f>IFERROR(__xludf.DUMMYFUNCTION("IF($D75=""Euro"",'Data in Local Currency'!E77,
IF($D75=""Dolar"",'Data in Local Currency'!E77*GOOGLEFINANCE(""Currency:USDEUR""),
IF($D75=""Franco Suíço"",'Data in Local Currency'!E77*GOOGLEFINANCE(""Currency:CHFEUR""),
IF($D75=""Libra Esterlina"", 'Data "&amp;"in Local Currency'!E77*GOOGLEFINANCE(""Currency:GBPEUR""),
IF($D75=""Iene"",'Data in Local Currency'!E77*GOOGLEFINANCE(""Currency:JPYEUR""),
IF($D75=""HKD"",'Data in Local Currency'!E77*GOOGLEFINANCE(""Currency:HKDEUR""),
IF($D75=""KRW"",'Data in Local Cu"&amp;"rrency'!E77*GOOGLEFINANCE(""Currency:KRWEUR""),"""")))))))"),9.28998)</f>
        <v>9.28998</v>
      </c>
      <c r="M75" s="20">
        <f>'Data in Local Currency'!F77</f>
        <v>2013</v>
      </c>
      <c r="N75" s="15">
        <f>IFERROR(__xludf.DUMMYFUNCTION("IF($D75=""Euro"",'Data in Local Currency'!G77,
IF($D75=""Dolar"",'Data in Local Currency'!G77*GOOGLEFINANCE(""Currency:USDEUR""),
IF($D75=""Franco Suíço"",'Data in Local Currency'!G77*GOOGLEFINANCE(""Currency:CHFEUR""),
IF($D75=""Libra Esterlina"", 'Data "&amp;"in Local Currency'!G77*GOOGLEFINANCE(""Currency:GBPEUR""),
IF($D75=""Iene"",'Data in Local Currency'!G77*GOOGLEFINANCE(""Currency:JPYEUR""),
IF($D75=""HKD"",'Data in Local Currency'!G77*GOOGLEFINANCE(""Currency:HKDEUR""),
IF($D75=""KRW"",'Data in Local Cu"&amp;"rrency'!G77*GOOGLEFINANCE(""Currency:KRWEUR""),"""")))))))"),8.7381)</f>
        <v>8.7381</v>
      </c>
      <c r="O75" s="15">
        <v>13.01</v>
      </c>
      <c r="P75" s="11">
        <v>0.13</v>
      </c>
      <c r="Q75" s="17">
        <v>0.06</v>
      </c>
      <c r="R75" s="11" t="s">
        <v>32</v>
      </c>
      <c r="S75" s="17"/>
    </row>
    <row r="76">
      <c r="A76" s="11" t="s">
        <v>254</v>
      </c>
      <c r="B76" s="11" t="s">
        <v>255</v>
      </c>
      <c r="C76" s="11" t="s">
        <v>256</v>
      </c>
      <c r="D76" s="12" t="s">
        <v>104</v>
      </c>
      <c r="E76" s="11">
        <v>3.8</v>
      </c>
      <c r="F76" s="11">
        <v>3.8</v>
      </c>
      <c r="G76" s="11">
        <v>3.4</v>
      </c>
      <c r="H76" s="13"/>
      <c r="I76" s="11"/>
      <c r="J76" s="11"/>
      <c r="K76" s="14"/>
      <c r="L76" s="15">
        <f>IFERROR(__xludf.DUMMYFUNCTION("IF($D76=""Euro"",'Data in Local Currency'!E78,
IF($D76=""Dolar"",'Data in Local Currency'!E78*GOOGLEFINANCE(""Currency:USDEUR""),
IF($D76=""Franco Suíço"",'Data in Local Currency'!E78*GOOGLEFINANCE(""Currency:CHFEUR""),
IF($D76=""Libra Esterlina"", 'Data "&amp;"in Local Currency'!E78*GOOGLEFINANCE(""Currency:GBPEUR""),
IF($D76=""Iene"",'Data in Local Currency'!E78*GOOGLEFINANCE(""Currency:JPYEUR""),
IF($D76=""HKD"",'Data in Local Currency'!E78*GOOGLEFINANCE(""Currency:HKDEUR""),
IF($D76=""KRW"",'Data in Local Cu"&amp;"rrency'!E78*GOOGLEFINANCE(""Currency:KRWEUR""),"""")))))))"),270.7786768236)</f>
        <v>270.7786768</v>
      </c>
      <c r="M76" s="20">
        <f>'Data in Local Currency'!F78</f>
        <v>2019</v>
      </c>
      <c r="N76" s="15">
        <f>IFERROR(__xludf.DUMMYFUNCTION("IF($D76=""Euro"",'Data in Local Currency'!G78,
IF($D76=""Dolar"",'Data in Local Currency'!G78*GOOGLEFINANCE(""Currency:USDEUR""),
IF($D76=""Franco Suíço"",'Data in Local Currency'!G78*GOOGLEFINANCE(""Currency:CHFEUR""),
IF($D76=""Libra Esterlina"", 'Data "&amp;"in Local Currency'!G78*GOOGLEFINANCE(""Currency:GBPEUR""),
IF($D76=""Iene"",'Data in Local Currency'!G78*GOOGLEFINANCE(""Currency:JPYEUR""),
IF($D76=""HKD"",'Data in Local Currency'!G78*GOOGLEFINANCE(""Currency:HKDEUR""),
IF($D76=""KRW"",'Data in Local Cu"&amp;"rrency'!G78*GOOGLEFINANCE(""Currency:KRWEUR""),"""")))))))"),270.7786768236)</f>
        <v>270.7786768</v>
      </c>
      <c r="O76" s="15">
        <v>254.99</v>
      </c>
      <c r="P76" s="11">
        <v>20.75</v>
      </c>
      <c r="Q76" s="17"/>
      <c r="R76" s="11" t="s">
        <v>27</v>
      </c>
      <c r="S76" s="17">
        <v>0.0</v>
      </c>
    </row>
    <row r="77">
      <c r="A77" s="11" t="s">
        <v>257</v>
      </c>
      <c r="B77" s="11" t="s">
        <v>258</v>
      </c>
      <c r="C77" s="11" t="s">
        <v>259</v>
      </c>
      <c r="D77" s="12" t="s">
        <v>26</v>
      </c>
      <c r="H77" s="13"/>
      <c r="I77" s="11"/>
      <c r="J77" s="11"/>
      <c r="K77" s="14"/>
      <c r="L77" s="15">
        <f>IFERROR(__xludf.DUMMYFUNCTION("IF($D77=""Euro"",'Data in Local Currency'!E79,
IF($D77=""Dolar"",'Data in Local Currency'!E79*GOOGLEFINANCE(""Currency:USDEUR""),
IF($D77=""Franco Suíço"",'Data in Local Currency'!E79*GOOGLEFINANCE(""Currency:CHFEUR""),
IF($D77=""Libra Esterlina"", 'Data "&amp;"in Local Currency'!E79*GOOGLEFINANCE(""Currency:GBPEUR""),
IF($D77=""Iene"",'Data in Local Currency'!E79*GOOGLEFINANCE(""Currency:JPYEUR""),
IF($D77=""HKD"",'Data in Local Currency'!E79*GOOGLEFINANCE(""Currency:HKDEUR""),
IF($D77=""KRW"",'Data in Local Cu"&amp;"rrency'!E79*GOOGLEFINANCE(""Currency:KRWEUR""),"""")))))))"),9.5)</f>
        <v>9.5</v>
      </c>
      <c r="M77" s="20">
        <f>'Data in Local Currency'!F79</f>
        <v>2011</v>
      </c>
      <c r="N77" s="15">
        <f>IFERROR(__xludf.DUMMYFUNCTION("IF($D77=""Euro"",'Data in Local Currency'!G79,
IF($D77=""Dolar"",'Data in Local Currency'!G79*GOOGLEFINANCE(""Currency:USDEUR""),
IF($D77=""Franco Suíço"",'Data in Local Currency'!G79*GOOGLEFINANCE(""Currency:CHFEUR""),
IF($D77=""Libra Esterlina"", 'Data "&amp;"in Local Currency'!G79*GOOGLEFINANCE(""Currency:GBPEUR""),
IF($D77=""Iene"",'Data in Local Currency'!G79*GOOGLEFINANCE(""Currency:JPYEUR""),
IF($D77=""HKD"",'Data in Local Currency'!G79*GOOGLEFINANCE(""Currency:HKDEUR""),
IF($D77=""KRW"",'Data in Local Cu"&amp;"rrency'!G79*GOOGLEFINANCE(""Currency:KRWEUR""),"""")))))))"),11.7)</f>
        <v>11.7</v>
      </c>
      <c r="O77" s="15">
        <v>4.98</v>
      </c>
      <c r="P77" s="11">
        <v>0.34</v>
      </c>
      <c r="Q77" s="17">
        <v>0.05</v>
      </c>
      <c r="R77" s="11" t="s">
        <v>32</v>
      </c>
      <c r="S77" s="17"/>
    </row>
    <row r="78">
      <c r="A78" s="11" t="s">
        <v>260</v>
      </c>
      <c r="B78" s="11" t="s">
        <v>261</v>
      </c>
      <c r="C78" s="11" t="s">
        <v>262</v>
      </c>
      <c r="D78" s="12" t="s">
        <v>26</v>
      </c>
      <c r="E78" s="11">
        <v>3.5</v>
      </c>
      <c r="F78" s="11">
        <v>3.1</v>
      </c>
      <c r="G78" s="11">
        <v>2.7</v>
      </c>
      <c r="H78" s="13"/>
      <c r="I78" s="11"/>
      <c r="J78" s="11"/>
      <c r="K78" s="14"/>
      <c r="L78" s="15">
        <f>IFERROR(__xludf.DUMMYFUNCTION("IF($D78=""Euro"",'Data in Local Currency'!E80,
IF($D78=""Dolar"",'Data in Local Currency'!E80*GOOGLEFINANCE(""Currency:USDEUR""),
IF($D78=""Franco Suíço"",'Data in Local Currency'!E80*GOOGLEFINANCE(""Currency:CHFEUR""),
IF($D78=""Libra Esterlina"", 'Data "&amp;"in Local Currency'!E80*GOOGLEFINANCE(""Currency:GBPEUR""),
IF($D78=""Iene"",'Data in Local Currency'!E80*GOOGLEFINANCE(""Currency:JPYEUR""),
IF($D78=""HKD"",'Data in Local Currency'!E80*GOOGLEFINANCE(""Currency:HKDEUR""),
IF($D78=""KRW"",'Data in Local Cu"&amp;"rrency'!E80*GOOGLEFINANCE(""Currency:KRWEUR""),"""")))))))"),17.03)</f>
        <v>17.03</v>
      </c>
      <c r="M78" s="20">
        <f>'Data in Local Currency'!F80</f>
        <v>1999</v>
      </c>
      <c r="N78" s="15">
        <f>IFERROR(__xludf.DUMMYFUNCTION("IF($D78=""Euro"",'Data in Local Currency'!G80,
IF($D78=""Dolar"",'Data in Local Currency'!G80*GOOGLEFINANCE(""Currency:USDEUR""),
IF($D78=""Franco Suíço"",'Data in Local Currency'!G80*GOOGLEFINANCE(""Currency:CHFEUR""),
IF($D78=""Libra Esterlina"", 'Data "&amp;"in Local Currency'!G80*GOOGLEFINANCE(""Currency:GBPEUR""),
IF($D78=""Iene"",'Data in Local Currency'!G80*GOOGLEFINANCE(""Currency:JPYEUR""),
IF($D78=""HKD"",'Data in Local Currency'!G80*GOOGLEFINANCE(""Currency:HKDEUR""),
IF($D78=""KRW"",'Data in Local Cu"&amp;"rrency'!G80*GOOGLEFINANCE(""Currency:KRWEUR""),"""")))))))"),63.55)</f>
        <v>63.55</v>
      </c>
      <c r="O78" s="15">
        <v>23.4</v>
      </c>
      <c r="P78" s="11"/>
      <c r="Q78" s="17"/>
      <c r="R78" s="11" t="s">
        <v>27</v>
      </c>
      <c r="S78" s="17">
        <v>0.0</v>
      </c>
    </row>
    <row r="79">
      <c r="A79" s="11" t="s">
        <v>263</v>
      </c>
      <c r="B79" s="11" t="s">
        <v>264</v>
      </c>
      <c r="C79" s="11" t="s">
        <v>265</v>
      </c>
      <c r="D79" s="12" t="s">
        <v>104</v>
      </c>
      <c r="E79" s="11">
        <v>3.8</v>
      </c>
      <c r="F79" s="11">
        <v>3.6</v>
      </c>
      <c r="G79" s="11">
        <v>3.5</v>
      </c>
      <c r="H79" s="13">
        <v>2.2</v>
      </c>
      <c r="I79" s="11">
        <v>100.0</v>
      </c>
      <c r="J79" s="11">
        <v>27.0</v>
      </c>
      <c r="K79" s="14">
        <v>48.0</v>
      </c>
      <c r="L79" s="15">
        <f>IFERROR(__xludf.DUMMYFUNCTION("IF($D79=""Euro"",'Data in Local Currency'!E81,
IF($D79=""Dolar"",'Data in Local Currency'!E81*GOOGLEFINANCE(""Currency:USDEUR""),
IF($D79=""Franco Suíço"",'Data in Local Currency'!E81*GOOGLEFINANCE(""Currency:CHFEUR""),
IF($D79=""Libra Esterlina"", 'Data "&amp;"in Local Currency'!E81*GOOGLEFINANCE(""Currency:GBPEUR""),
IF($D79=""Iene"",'Data in Local Currency'!E81*GOOGLEFINANCE(""Currency:JPYEUR""),
IF($D79=""HKD"",'Data in Local Currency'!E81*GOOGLEFINANCE(""Currency:HKDEUR""),
IF($D79=""KRW"",'Data in Local Cu"&amp;"rrency'!E81*GOOGLEFINANCE(""Currency:KRWEUR""),"""")))))))"),1577.538294816)</f>
        <v>1577.538295</v>
      </c>
      <c r="M79" s="20">
        <f>'Data in Local Currency'!F81</f>
        <v>2015</v>
      </c>
      <c r="N79" s="15">
        <f>IFERROR(__xludf.DUMMYFUNCTION("IF($D79=""Euro"",'Data in Local Currency'!G81,
IF($D79=""Dolar"",'Data in Local Currency'!G81*GOOGLEFINANCE(""Currency:USDEUR""),
IF($D79=""Franco Suíço"",'Data in Local Currency'!G81*GOOGLEFINANCE(""Currency:CHFEUR""),
IF($D79=""Libra Esterlina"", 'Data "&amp;"in Local Currency'!G81*GOOGLEFINANCE(""Currency:GBPEUR""),
IF($D79=""Iene"",'Data in Local Currency'!G81*GOOGLEFINANCE(""Currency:JPYEUR""),
IF($D79=""HKD"",'Data in Local Currency'!G81*GOOGLEFINANCE(""Currency:HKDEUR""),
IF($D79=""KRW"",'Data in Local Cu"&amp;"rrency'!G81*GOOGLEFINANCE(""Currency:KRWEUR""),"""")))))))"),2122.221867645)</f>
        <v>2122.221868</v>
      </c>
      <c r="O79" s="15">
        <v>3110.62</v>
      </c>
      <c r="P79" s="11">
        <v>0.74</v>
      </c>
      <c r="Q79" s="17">
        <v>0.18</v>
      </c>
      <c r="R79" s="11" t="s">
        <v>32</v>
      </c>
      <c r="S79" s="17"/>
    </row>
    <row r="80">
      <c r="A80" s="11" t="s">
        <v>266</v>
      </c>
      <c r="B80" s="11" t="s">
        <v>267</v>
      </c>
      <c r="C80" s="11" t="s">
        <v>268</v>
      </c>
      <c r="D80" s="12" t="s">
        <v>26</v>
      </c>
      <c r="E80" s="11">
        <v>4.4</v>
      </c>
      <c r="F80" s="11">
        <v>4.6</v>
      </c>
      <c r="G80" s="11">
        <v>4.6</v>
      </c>
      <c r="H80" s="13"/>
      <c r="I80" s="11"/>
      <c r="J80" s="11"/>
      <c r="K80" s="14"/>
      <c r="L80" s="15">
        <f>IFERROR(__xludf.DUMMYFUNCTION("IF($D80=""Euro"",'Data in Local Currency'!E82,
IF($D80=""Dolar"",'Data in Local Currency'!E82*GOOGLEFINANCE(""Currency:USDEUR""),
IF($D80=""Franco Suíço"",'Data in Local Currency'!E82*GOOGLEFINANCE(""Currency:CHFEUR""),
IF($D80=""Libra Esterlina"", 'Data "&amp;"in Local Currency'!E82*GOOGLEFINANCE(""Currency:GBPEUR""),
IF($D80=""Iene"",'Data in Local Currency'!E82*GOOGLEFINANCE(""Currency:JPYEUR""),
IF($D80=""HKD"",'Data in Local Currency'!E82*GOOGLEFINANCE(""Currency:HKDEUR""),
IF($D80=""KRW"",'Data in Local Cu"&amp;"rrency'!E82*GOOGLEFINANCE(""Currency:KRWEUR""),"""")))))))"),12.6)</f>
        <v>12.6</v>
      </c>
      <c r="M80" s="20">
        <f>'Data in Local Currency'!F82</f>
        <v>2003</v>
      </c>
      <c r="N80" s="15">
        <f>IFERROR(__xludf.DUMMYFUNCTION("IF($D80=""Euro"",'Data in Local Currency'!G82,
IF($D80=""Dolar"",'Data in Local Currency'!G82*GOOGLEFINANCE(""Currency:USDEUR""),
IF($D80=""Franco Suíço"",'Data in Local Currency'!G82*GOOGLEFINANCE(""Currency:CHFEUR""),
IF($D80=""Libra Esterlina"", 'Data "&amp;"in Local Currency'!G82*GOOGLEFINANCE(""Currency:GBPEUR""),
IF($D80=""Iene"",'Data in Local Currency'!G82*GOOGLEFINANCE(""Currency:JPYEUR""),
IF($D80=""HKD"",'Data in Local Currency'!G82*GOOGLEFINANCE(""Currency:HKDEUR""),
IF($D80=""KRW"",'Data in Local Cu"&amp;"rrency'!G82*GOOGLEFINANCE(""Currency:KRWEUR""),"""")))))))"),23.28)</f>
        <v>23.28</v>
      </c>
      <c r="O80" s="15">
        <v>18.08</v>
      </c>
      <c r="P80" s="11">
        <v>6.39</v>
      </c>
      <c r="Q80" s="17">
        <v>4.03</v>
      </c>
      <c r="R80" s="11" t="s">
        <v>27</v>
      </c>
      <c r="S80" s="17">
        <v>2.0</v>
      </c>
    </row>
    <row r="81">
      <c r="A81" s="11" t="s">
        <v>269</v>
      </c>
      <c r="B81" s="11" t="s">
        <v>270</v>
      </c>
      <c r="C81" s="11" t="s">
        <v>271</v>
      </c>
      <c r="D81" s="12" t="s">
        <v>26</v>
      </c>
      <c r="E81" s="11">
        <v>3.7</v>
      </c>
      <c r="F81" s="11">
        <v>3.7</v>
      </c>
      <c r="G81" s="11">
        <v>3.3</v>
      </c>
      <c r="H81" s="13"/>
      <c r="I81" s="11"/>
      <c r="J81" s="11"/>
      <c r="K81" s="14"/>
      <c r="L81" s="15">
        <f>IFERROR(__xludf.DUMMYFUNCTION("IF($D81=""Euro"",'Data in Local Currency'!E83,
IF($D81=""Dolar"",'Data in Local Currency'!E83*GOOGLEFINANCE(""Currency:USDEUR""),
IF($D81=""Franco Suíço"",'Data in Local Currency'!E83*GOOGLEFINANCE(""Currency:CHFEUR""),
IF($D81=""Libra Esterlina"", 'Data "&amp;"in Local Currency'!E83*GOOGLEFINANCE(""Currency:GBPEUR""),
IF($D81=""Iene"",'Data in Local Currency'!E83*GOOGLEFINANCE(""Currency:JPYEUR""),
IF($D81=""HKD"",'Data in Local Currency'!E83*GOOGLEFINANCE(""Currency:HKDEUR""),
IF($D81=""KRW"",'Data in Local Cu"&amp;"rrency'!E83*GOOGLEFINANCE(""Currency:KRWEUR""),"""")))))))"),5.105)</f>
        <v>5.105</v>
      </c>
      <c r="M81" s="20">
        <f>'Data in Local Currency'!F83</f>
        <v>1995</v>
      </c>
      <c r="N81" s="15">
        <f>IFERROR(__xludf.DUMMYFUNCTION("IF($D81=""Euro"",'Data in Local Currency'!G83,
IF($D81=""Dolar"",'Data in Local Currency'!G83*GOOGLEFINANCE(""Currency:USDEUR""),
IF($D81=""Franco Suíço"",'Data in Local Currency'!G83*GOOGLEFINANCE(""Currency:CHFEUR""),
IF($D81=""Libra Esterlina"", 'Data "&amp;"in Local Currency'!G83*GOOGLEFINANCE(""Currency:GBPEUR""),
IF($D81=""Iene"",'Data in Local Currency'!G83*GOOGLEFINANCE(""Currency:JPYEUR""),
IF($D81=""HKD"",'Data in Local Currency'!G83*GOOGLEFINANCE(""Currency:HKDEUR""),
IF($D81=""KRW"",'Data in Local Cu"&amp;"rrency'!G83*GOOGLEFINANCE(""Currency:KRWEUR""),"""")))))))"),4.679)</f>
        <v>4.679</v>
      </c>
      <c r="O81" s="15">
        <v>4.54</v>
      </c>
      <c r="P81" s="11">
        <v>52.98</v>
      </c>
      <c r="Q81" s="17"/>
      <c r="R81" s="11" t="s">
        <v>27</v>
      </c>
      <c r="S81" s="17">
        <v>0.0</v>
      </c>
    </row>
    <row r="82">
      <c r="A82" s="11" t="s">
        <v>272</v>
      </c>
      <c r="B82" s="11" t="s">
        <v>273</v>
      </c>
      <c r="C82" s="11" t="s">
        <v>274</v>
      </c>
      <c r="D82" s="12" t="s">
        <v>26</v>
      </c>
      <c r="E82" s="11">
        <v>3.9</v>
      </c>
      <c r="F82" s="11">
        <v>3.9</v>
      </c>
      <c r="G82" s="11">
        <v>3.5</v>
      </c>
      <c r="H82" s="13">
        <v>4.2</v>
      </c>
      <c r="I82" s="11">
        <v>32.0</v>
      </c>
      <c r="J82" s="11">
        <v>64.0</v>
      </c>
      <c r="K82" s="14">
        <v>69.0</v>
      </c>
      <c r="L82" s="15">
        <f>IFERROR(__xludf.DUMMYFUNCTION("IF($D82=""Euro"",'Data in Local Currency'!E84,
IF($D82=""Dolar"",'Data in Local Currency'!E84*GOOGLEFINANCE(""Currency:USDEUR""),
IF($D82=""Franco Suíço"",'Data in Local Currency'!E84*GOOGLEFINANCE(""Currency:CHFEUR""),
IF($D82=""Libra Esterlina"", 'Data "&amp;"in Local Currency'!E84*GOOGLEFINANCE(""Currency:GBPEUR""),
IF($D82=""Iene"",'Data in Local Currency'!E84*GOOGLEFINANCE(""Currency:JPYEUR""),
IF($D82=""HKD"",'Data in Local Currency'!E84*GOOGLEFINANCE(""Currency:HKDEUR""),
IF($D82=""KRW"",'Data in Local Cu"&amp;"rrency'!E84*GOOGLEFINANCE(""Currency:KRWEUR""),"""")))))))"),26.64)</f>
        <v>26.64</v>
      </c>
      <c r="M82" s="20">
        <f>'Data in Local Currency'!F84</f>
        <v>2000</v>
      </c>
      <c r="N82" s="15">
        <f>IFERROR(__xludf.DUMMYFUNCTION("IF($D82=""Euro"",'Data in Local Currency'!G84,
IF($D82=""Dolar"",'Data in Local Currency'!G84*GOOGLEFINANCE(""Currency:USDEUR""),
IF($D82=""Franco Suíço"",'Data in Local Currency'!G84*GOOGLEFINANCE(""Currency:CHFEUR""),
IF($D82=""Libra Esterlina"", 'Data "&amp;"in Local Currency'!G84*GOOGLEFINANCE(""Currency:GBPEUR""),
IF($D82=""Iene"",'Data in Local Currency'!G84*GOOGLEFINANCE(""Currency:JPYEUR""),
IF($D82=""HKD"",'Data in Local Currency'!G84*GOOGLEFINANCE(""Currency:HKDEUR""),
IF($D82=""KRW"",'Data in Local Cu"&amp;"rrency'!G84*GOOGLEFINANCE(""Currency:KRWEUR""),"""")))))))"),41.85)</f>
        <v>41.85</v>
      </c>
      <c r="O82" s="15">
        <v>29.02</v>
      </c>
      <c r="P82" s="11">
        <v>2.2</v>
      </c>
      <c r="Q82" s="17"/>
      <c r="R82" s="11" t="s">
        <v>32</v>
      </c>
      <c r="S82" s="17"/>
    </row>
    <row r="83">
      <c r="A83" s="11" t="s">
        <v>275</v>
      </c>
      <c r="B83" s="11" t="s">
        <v>276</v>
      </c>
      <c r="C83" s="11" t="s">
        <v>277</v>
      </c>
      <c r="D83" s="12" t="s">
        <v>31</v>
      </c>
      <c r="E83" s="11">
        <v>3.9</v>
      </c>
      <c r="F83" s="11">
        <v>3.9</v>
      </c>
      <c r="G83" s="11">
        <v>3.5</v>
      </c>
      <c r="H83" s="13">
        <v>2.6</v>
      </c>
      <c r="I83" s="11">
        <v>13.0</v>
      </c>
      <c r="J83" s="11">
        <v>65.0</v>
      </c>
      <c r="K83" s="14">
        <v>49.0</v>
      </c>
      <c r="L83" s="15">
        <f>IFERROR(__xludf.DUMMYFUNCTION("IF($D83=""Euro"",'Data in Local Currency'!E85,
IF($D83=""Dolar"",'Data in Local Currency'!E85*GOOGLEFINANCE(""Currency:USDEUR""),
IF($D83=""Franco Suíço"",'Data in Local Currency'!E85*GOOGLEFINANCE(""Currency:CHFEUR""),
IF($D83=""Libra Esterlina"", 'Data "&amp;"in Local Currency'!E85*GOOGLEFINANCE(""Currency:GBPEUR""),
IF($D83=""Iene"",'Data in Local Currency'!E85*GOOGLEFINANCE(""Currency:JPYEUR""),
IF($D83=""HKD"",'Data in Local Currency'!E85*GOOGLEFINANCE(""Currency:HKDEUR""),
IF($D83=""KRW"",'Data in Local Cu"&amp;"rrency'!E85*GOOGLEFINANCE(""Currency:KRWEUR""),"""")))))))"),3.6792)</f>
        <v>3.6792</v>
      </c>
      <c r="M83" s="20">
        <f>'Data in Local Currency'!F85</f>
        <v>1987</v>
      </c>
      <c r="N83" s="15">
        <f>IFERROR(__xludf.DUMMYFUNCTION("IF($D83=""Euro"",'Data in Local Currency'!G85,
IF($D83=""Dolar"",'Data in Local Currency'!G85*GOOGLEFINANCE(""Currency:USDEUR""),
IF($D83=""Franco Suíço"",'Data in Local Currency'!G85*GOOGLEFINANCE(""Currency:CHFEUR""),
IF($D83=""Libra Esterlina"", 'Data "&amp;"in Local Currency'!G85*GOOGLEFINANCE(""Currency:GBPEUR""),
IF($D83=""Iene"",'Data in Local Currency'!G85*GOOGLEFINANCE(""Currency:JPYEUR""),
IF($D83=""HKD"",'Data in Local Currency'!G85*GOOGLEFINANCE(""Currency:HKDEUR""),
IF($D83=""KRW"",'Data in Local Cu"&amp;"rrency'!G85*GOOGLEFINANCE(""Currency:KRWEUR""),"""")))))))"),56.816046)</f>
        <v>56.816046</v>
      </c>
      <c r="O83" s="15">
        <v>17.08</v>
      </c>
      <c r="P83" s="11">
        <v>1.74</v>
      </c>
      <c r="Q83" s="17">
        <v>3.54</v>
      </c>
      <c r="R83" s="11" t="s">
        <v>32</v>
      </c>
      <c r="S83" s="17"/>
    </row>
    <row r="84">
      <c r="A84" s="11" t="s">
        <v>278</v>
      </c>
      <c r="B84" s="11" t="s">
        <v>279</v>
      </c>
      <c r="C84" s="11" t="s">
        <v>280</v>
      </c>
      <c r="D84" s="12" t="s">
        <v>31</v>
      </c>
      <c r="E84" s="11">
        <v>4.4</v>
      </c>
      <c r="F84" s="11">
        <v>4.3</v>
      </c>
      <c r="G84" s="11">
        <v>4.2</v>
      </c>
      <c r="H84" s="13">
        <v>3.4</v>
      </c>
      <c r="I84" s="11">
        <v>0.0</v>
      </c>
      <c r="J84" s="11">
        <v>85.0</v>
      </c>
      <c r="K84" s="14">
        <v>69.0</v>
      </c>
      <c r="L84" s="15">
        <f>IFERROR(__xludf.DUMMYFUNCTION("IF($D84=""Euro"",'Data in Local Currency'!E86,
IF($D84=""Dolar"",'Data in Local Currency'!E86*GOOGLEFINANCE(""Currency:USDEUR""),
IF($D84=""Franco Suíço"",'Data in Local Currency'!E86*GOOGLEFINANCE(""Currency:CHFEUR""),
IF($D84=""Libra Esterlina"", 'Data "&amp;"in Local Currency'!E86*GOOGLEFINANCE(""Currency:GBPEUR""),
IF($D84=""Iene"",'Data in Local Currency'!E86*GOOGLEFINANCE(""Currency:JPYEUR""),
IF($D84=""HKD"",'Data in Local Currency'!E86*GOOGLEFINANCE(""Currency:HKDEUR""),
IF($D84=""KRW"",'Data in Local Cu"&amp;"rrency'!E86*GOOGLEFINANCE(""Currency:KRWEUR""),"""")))))))"),39.91932)</f>
        <v>39.91932</v>
      </c>
      <c r="M84" s="20">
        <f>'Data in Local Currency'!F86</f>
        <v>2005</v>
      </c>
      <c r="N84" s="15">
        <f>IFERROR(__xludf.DUMMYFUNCTION("IF($D84=""Euro"",'Data in Local Currency'!G86,
IF($D84=""Dolar"",'Data in Local Currency'!G86*GOOGLEFINANCE(""Currency:USDEUR""),
IF($D84=""Franco Suíço"",'Data in Local Currency'!G86*GOOGLEFINANCE(""Currency:CHFEUR""),
IF($D84=""Libra Esterlina"", 'Data "&amp;"in Local Currency'!G86*GOOGLEFINANCE(""Currency:GBPEUR""),
IF($D84=""Iene"",'Data in Local Currency'!G86*GOOGLEFINANCE(""Currency:JPYEUR""),
IF($D84=""HKD"",'Data in Local Currency'!G86*GOOGLEFINANCE(""Currency:HKDEUR""),
IF($D84=""KRW"",'Data in Local Cu"&amp;"rrency'!G86*GOOGLEFINANCE(""Currency:KRWEUR""),"""")))))))"),54.259002)</f>
        <v>54.259002</v>
      </c>
      <c r="O84" s="15">
        <v>35.2</v>
      </c>
      <c r="P84" s="11">
        <v>3.85</v>
      </c>
      <c r="Q84" s="17">
        <v>0.36</v>
      </c>
      <c r="R84" s="11" t="s">
        <v>32</v>
      </c>
      <c r="S84" s="17"/>
    </row>
    <row r="85">
      <c r="A85" s="11" t="s">
        <v>281</v>
      </c>
      <c r="B85" s="11" t="s">
        <v>282</v>
      </c>
      <c r="C85" s="11" t="s">
        <v>283</v>
      </c>
      <c r="D85" s="12" t="s">
        <v>26</v>
      </c>
      <c r="E85" s="11">
        <v>3.5</v>
      </c>
      <c r="F85" s="11">
        <v>3.4</v>
      </c>
      <c r="G85" s="11">
        <v>3.2</v>
      </c>
      <c r="H85" s="13"/>
      <c r="I85" s="11"/>
      <c r="J85" s="11"/>
      <c r="K85" s="14"/>
      <c r="L85" s="15">
        <f>IFERROR(__xludf.DUMMYFUNCTION("IF($D85=""Euro"",'Data in Local Currency'!E87,
IF($D85=""Dolar"",'Data in Local Currency'!E87*GOOGLEFINANCE(""Currency:USDEUR""),
IF($D85=""Franco Suíço"",'Data in Local Currency'!E87*GOOGLEFINANCE(""Currency:CHFEUR""),
IF($D85=""Libra Esterlina"", 'Data "&amp;"in Local Currency'!E87*GOOGLEFINANCE(""Currency:GBPEUR""),
IF($D85=""Iene"",'Data in Local Currency'!E87*GOOGLEFINANCE(""Currency:JPYEUR""),
IF($D85=""HKD"",'Data in Local Currency'!E87*GOOGLEFINANCE(""Currency:HKDEUR""),
IF($D85=""KRW"",'Data in Local Cu"&amp;"rrency'!E87*GOOGLEFINANCE(""Currency:KRWEUR""),"""")))))))"),13.64)</f>
        <v>13.64</v>
      </c>
      <c r="M85" s="20">
        <f>'Data in Local Currency'!F87</f>
        <v>2001</v>
      </c>
      <c r="N85" s="15">
        <f>IFERROR(__xludf.DUMMYFUNCTION("IF($D85=""Euro"",'Data in Local Currency'!G87,
IF($D85=""Dolar"",'Data in Local Currency'!G87*GOOGLEFINANCE(""Currency:USDEUR""),
IF($D85=""Franco Suíço"",'Data in Local Currency'!G87*GOOGLEFINANCE(""Currency:CHFEUR""),
IF($D85=""Libra Esterlina"", 'Data "&amp;"in Local Currency'!G87*GOOGLEFINANCE(""Currency:GBPEUR""),
IF($D85=""Iene"",'Data in Local Currency'!G87*GOOGLEFINANCE(""Currency:JPYEUR""),
IF($D85=""HKD"",'Data in Local Currency'!G87*GOOGLEFINANCE(""Currency:HKDEUR""),
IF($D85=""KRW"",'Data in Local Cu"&amp;"rrency'!G87*GOOGLEFINANCE(""Currency:KRWEUR""),"""")))))))"),32.38)</f>
        <v>32.38</v>
      </c>
      <c r="O85" s="15">
        <v>22.82</v>
      </c>
      <c r="P85" s="11">
        <v>2.52</v>
      </c>
      <c r="Q85" s="17">
        <v>1.15</v>
      </c>
      <c r="R85" s="11" t="s">
        <v>27</v>
      </c>
      <c r="S85" s="17">
        <v>0.0</v>
      </c>
    </row>
    <row r="86">
      <c r="A86" s="11" t="s">
        <v>284</v>
      </c>
      <c r="B86" s="11" t="s">
        <v>285</v>
      </c>
      <c r="C86" s="11" t="s">
        <v>286</v>
      </c>
      <c r="D86" s="12" t="s">
        <v>26</v>
      </c>
      <c r="E86" s="11">
        <v>3.9</v>
      </c>
      <c r="F86" s="11">
        <v>3.6</v>
      </c>
      <c r="G86" s="11">
        <v>3.6</v>
      </c>
      <c r="H86" s="13"/>
      <c r="I86" s="11"/>
      <c r="J86" s="11"/>
      <c r="K86" s="14"/>
      <c r="L86" s="15">
        <f>IFERROR(__xludf.DUMMYFUNCTION("IF($D86=""Euro"",'Data in Local Currency'!E88,
IF($D86=""Dolar"",'Data in Local Currency'!E88*GOOGLEFINANCE(""Currency:USDEUR""),
IF($D86=""Franco Suíço"",'Data in Local Currency'!E88*GOOGLEFINANCE(""Currency:CHFEUR""),
IF($D86=""Libra Esterlina"", 'Data "&amp;"in Local Currency'!E88*GOOGLEFINANCE(""Currency:GBPEUR""),
IF($D86=""Iene"",'Data in Local Currency'!E88*GOOGLEFINANCE(""Currency:JPYEUR""),
IF($D86=""HKD"",'Data in Local Currency'!E88*GOOGLEFINANCE(""Currency:HKDEUR""),
IF($D86=""KRW"",'Data in Local Cu"&amp;"rrency'!E88*GOOGLEFINANCE(""Currency:KRWEUR""),"""")))))))"),19.9)</f>
        <v>19.9</v>
      </c>
      <c r="M86" s="20">
        <f>'Data in Local Currency'!F88</f>
        <v>2006</v>
      </c>
      <c r="N86" s="15">
        <f>IFERROR(__xludf.DUMMYFUNCTION("IF($D86=""Euro"",'Data in Local Currency'!G88,
IF($D86=""Dolar"",'Data in Local Currency'!G88*GOOGLEFINANCE(""Currency:USDEUR""),
IF($D86=""Franco Suíço"",'Data in Local Currency'!G88*GOOGLEFINANCE(""Currency:CHFEUR""),
IF($D86=""Libra Esterlina"", 'Data "&amp;"in Local Currency'!G88*GOOGLEFINANCE(""Currency:GBPEUR""),
IF($D86=""Iene"",'Data in Local Currency'!G88*GOOGLEFINANCE(""Currency:JPYEUR""),
IF($D86=""HKD"",'Data in Local Currency'!G88*GOOGLEFINANCE(""Currency:HKDEUR""),
IF($D86=""KRW"",'Data in Local Cu"&amp;"rrency'!G88*GOOGLEFINANCE(""Currency:KRWEUR""),"""")))))))"),16.13)</f>
        <v>16.13</v>
      </c>
      <c r="O86" s="15">
        <v>9.0</v>
      </c>
      <c r="P86" s="11">
        <v>1.34</v>
      </c>
      <c r="Q86" s="17">
        <v>0.16</v>
      </c>
      <c r="R86" s="11" t="s">
        <v>32</v>
      </c>
      <c r="S86" s="17"/>
    </row>
    <row r="87">
      <c r="A87" s="11" t="s">
        <v>287</v>
      </c>
      <c r="B87" s="11" t="s">
        <v>288</v>
      </c>
      <c r="C87" s="11" t="s">
        <v>289</v>
      </c>
      <c r="D87" s="12" t="s">
        <v>31</v>
      </c>
      <c r="E87" s="11">
        <v>4.1</v>
      </c>
      <c r="F87" s="11">
        <v>4.0</v>
      </c>
      <c r="G87" s="11">
        <v>3.7</v>
      </c>
      <c r="H87" s="13">
        <v>4.5</v>
      </c>
      <c r="I87" s="11">
        <v>42.0</v>
      </c>
      <c r="J87" s="11">
        <v>84.0</v>
      </c>
      <c r="K87" s="14">
        <v>76.0</v>
      </c>
      <c r="L87" s="15">
        <f>IFERROR(__xludf.DUMMYFUNCTION("IF($D87=""Euro"",'Data in Local Currency'!E89,
IF($D87=""Dolar"",'Data in Local Currency'!E89*GOOGLEFINANCE(""Currency:USDEUR""),
IF($D87=""Franco Suíço"",'Data in Local Currency'!E89*GOOGLEFINANCE(""Currency:CHFEUR""),
IF($D87=""Libra Esterlina"", 'Data "&amp;"in Local Currency'!E89*GOOGLEFINANCE(""Currency:GBPEUR""),
IF($D87=""Iene"",'Data in Local Currency'!E89*GOOGLEFINANCE(""Currency:JPYEUR""),
IF($D87=""HKD"",'Data in Local Currency'!E89*GOOGLEFINANCE(""Currency:HKDEUR""),
IF($D87=""KRW"",'Data in Local Cu"&amp;"rrency'!E89*GOOGLEFINANCE(""Currency:KRWEUR""),"""")))))))"),27.419237999999996)</f>
        <v>27.419238</v>
      </c>
      <c r="M87" s="20">
        <f>'Data in Local Currency'!F89</f>
        <v>2009</v>
      </c>
      <c r="N87" s="15">
        <f>IFERROR(__xludf.DUMMYFUNCTION("IF($D87=""Euro"",'Data in Local Currency'!G89,
IF($D87=""Dolar"",'Data in Local Currency'!G89*GOOGLEFINANCE(""Currency:USDEUR""),
IF($D87=""Franco Suíço"",'Data in Local Currency'!G89*GOOGLEFINANCE(""Currency:CHFEUR""),
IF($D87=""Libra Esterlina"", 'Data "&amp;"in Local Currency'!G89*GOOGLEFINANCE(""Currency:GBPEUR""),
IF($D87=""Iene"",'Data in Local Currency'!G89*GOOGLEFINANCE(""Currency:JPYEUR""),
IF($D87=""HKD"",'Data in Local Currency'!G89*GOOGLEFINANCE(""Currency:HKDEUR""),
IF($D87=""KRW"",'Data in Local Cu"&amp;"rrency'!G89*GOOGLEFINANCE(""Currency:KRWEUR""),"""")))))))"),51.048899999999996)</f>
        <v>51.0489</v>
      </c>
      <c r="O87" s="15">
        <v>84.83</v>
      </c>
      <c r="P87" s="11">
        <v>2.76</v>
      </c>
      <c r="Q87" s="17">
        <v>0.07</v>
      </c>
      <c r="R87" s="11" t="s">
        <v>32</v>
      </c>
      <c r="S87" s="1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75"/>
    <col customWidth="1" min="5" max="5" width="14.25"/>
    <col customWidth="1" min="8" max="8" width="1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4"/>
      <c r="F1" s="2" t="s">
        <v>6</v>
      </c>
    </row>
    <row r="2">
      <c r="E2" s="5" t="s">
        <v>15</v>
      </c>
      <c r="F2" s="5" t="s">
        <v>16</v>
      </c>
      <c r="G2" s="5" t="s">
        <v>17</v>
      </c>
      <c r="H2" s="5" t="s">
        <v>18</v>
      </c>
      <c r="I2" s="5" t="s">
        <v>19</v>
      </c>
      <c r="J2" s="7" t="s">
        <v>20</v>
      </c>
    </row>
    <row r="3" ht="33.75" customHeight="1">
      <c r="J3" s="10"/>
    </row>
    <row r="4">
      <c r="A4" s="27" t="s">
        <v>23</v>
      </c>
      <c r="B4" s="27" t="s">
        <v>24</v>
      </c>
      <c r="C4" s="27" t="s">
        <v>25</v>
      </c>
      <c r="D4" s="28" t="s">
        <v>26</v>
      </c>
      <c r="E4" s="29">
        <v>14.1</v>
      </c>
      <c r="F4" s="30">
        <v>1996.0</v>
      </c>
      <c r="G4" s="31">
        <v>7.9</v>
      </c>
    </row>
    <row r="5">
      <c r="A5" s="27" t="s">
        <v>28</v>
      </c>
      <c r="B5" s="27" t="s">
        <v>29</v>
      </c>
      <c r="C5" s="27" t="s">
        <v>30</v>
      </c>
      <c r="D5" s="28" t="s">
        <v>31</v>
      </c>
      <c r="E5" s="29">
        <v>1.19</v>
      </c>
      <c r="F5" s="30">
        <v>1982.0</v>
      </c>
      <c r="G5" s="31">
        <v>113.39</v>
      </c>
    </row>
    <row r="6">
      <c r="A6" s="32" t="s">
        <v>33</v>
      </c>
      <c r="B6" s="27" t="s">
        <v>34</v>
      </c>
      <c r="C6" s="27" t="s">
        <v>35</v>
      </c>
      <c r="D6" s="28" t="s">
        <v>31</v>
      </c>
      <c r="E6" s="33">
        <v>18.31</v>
      </c>
      <c r="F6" s="30">
        <v>1998.0</v>
      </c>
      <c r="G6" s="31">
        <v>119.88</v>
      </c>
    </row>
    <row r="7">
      <c r="A7" s="27" t="s">
        <v>36</v>
      </c>
      <c r="B7" s="27" t="s">
        <v>37</v>
      </c>
      <c r="C7" s="27" t="s">
        <v>38</v>
      </c>
      <c r="D7" s="28" t="s">
        <v>31</v>
      </c>
      <c r="E7" s="33">
        <v>0.81</v>
      </c>
      <c r="F7" s="30">
        <v>1982.0</v>
      </c>
      <c r="G7" s="31">
        <v>129.61</v>
      </c>
    </row>
    <row r="8">
      <c r="A8" s="32" t="s">
        <v>39</v>
      </c>
      <c r="B8" s="27" t="s">
        <v>40</v>
      </c>
      <c r="C8" s="27" t="s">
        <v>41</v>
      </c>
      <c r="D8" s="28" t="s">
        <v>31</v>
      </c>
      <c r="E8" s="29">
        <v>3.2</v>
      </c>
      <c r="F8" s="11">
        <v>2001.0</v>
      </c>
      <c r="G8" s="31">
        <v>40.25</v>
      </c>
    </row>
    <row r="9">
      <c r="A9" s="27" t="s">
        <v>43</v>
      </c>
      <c r="B9" s="27" t="s">
        <v>44</v>
      </c>
      <c r="C9" s="27" t="s">
        <v>45</v>
      </c>
      <c r="D9" s="28" t="s">
        <v>31</v>
      </c>
      <c r="E9" s="29">
        <v>6.03</v>
      </c>
      <c r="F9" s="30">
        <v>1982.0</v>
      </c>
      <c r="G9" s="31">
        <v>92.76</v>
      </c>
    </row>
    <row r="10">
      <c r="A10" s="32" t="s">
        <v>46</v>
      </c>
      <c r="B10" s="27" t="s">
        <v>47</v>
      </c>
      <c r="C10" s="27" t="s">
        <v>48</v>
      </c>
      <c r="D10" s="28" t="s">
        <v>31</v>
      </c>
      <c r="E10" s="29">
        <v>85.88</v>
      </c>
      <c r="F10" s="11">
        <v>2014.0</v>
      </c>
      <c r="G10" s="31">
        <v>107.83</v>
      </c>
    </row>
    <row r="11">
      <c r="A11" s="27" t="s">
        <v>49</v>
      </c>
      <c r="B11" s="27" t="s">
        <v>50</v>
      </c>
      <c r="C11" s="27" t="s">
        <v>51</v>
      </c>
      <c r="D11" s="28" t="s">
        <v>31</v>
      </c>
      <c r="E11" s="29">
        <v>0.32</v>
      </c>
      <c r="F11" s="11">
        <v>1992.0</v>
      </c>
      <c r="G11" s="31">
        <v>60.06</v>
      </c>
    </row>
    <row r="12">
      <c r="A12" s="27" t="s">
        <v>52</v>
      </c>
      <c r="B12" s="27" t="s">
        <v>53</v>
      </c>
      <c r="C12" s="27" t="s">
        <v>54</v>
      </c>
      <c r="D12" s="28" t="s">
        <v>26</v>
      </c>
      <c r="E12" s="29">
        <v>4.6</v>
      </c>
      <c r="F12" s="11">
        <v>2000.0</v>
      </c>
      <c r="G12" s="31">
        <v>44.34</v>
      </c>
    </row>
    <row r="13">
      <c r="A13" s="32" t="s">
        <v>55</v>
      </c>
      <c r="B13" s="27" t="s">
        <v>56</v>
      </c>
      <c r="C13" s="27" t="s">
        <v>57</v>
      </c>
      <c r="D13" s="28" t="s">
        <v>26</v>
      </c>
      <c r="E13" s="29">
        <v>26.44</v>
      </c>
      <c r="F13" s="11">
        <v>2005.0</v>
      </c>
      <c r="G13" s="31">
        <v>23.88</v>
      </c>
    </row>
    <row r="14">
      <c r="A14" s="27" t="s">
        <v>58</v>
      </c>
      <c r="B14" s="27" t="s">
        <v>59</v>
      </c>
      <c r="C14" s="27" t="s">
        <v>60</v>
      </c>
      <c r="D14" s="28" t="s">
        <v>61</v>
      </c>
      <c r="E14" s="29">
        <v>29.91</v>
      </c>
      <c r="F14" s="11">
        <v>2001.0</v>
      </c>
      <c r="G14" s="31">
        <v>56.4</v>
      </c>
    </row>
    <row r="15">
      <c r="A15" s="27" t="s">
        <v>62</v>
      </c>
      <c r="B15" s="27" t="s">
        <v>63</v>
      </c>
      <c r="C15" s="27" t="s">
        <v>64</v>
      </c>
      <c r="D15" s="28" t="s">
        <v>26</v>
      </c>
      <c r="E15" s="29">
        <v>31.34</v>
      </c>
      <c r="F15" s="11">
        <v>2000.0</v>
      </c>
      <c r="G15" s="31">
        <v>119.95</v>
      </c>
    </row>
    <row r="16">
      <c r="A16" s="27" t="s">
        <v>65</v>
      </c>
      <c r="B16" s="27" t="s">
        <v>66</v>
      </c>
      <c r="C16" s="27" t="s">
        <v>67</v>
      </c>
      <c r="D16" s="28" t="s">
        <v>26</v>
      </c>
      <c r="E16" s="29">
        <v>1.97</v>
      </c>
      <c r="F16" s="11">
        <v>2002.0</v>
      </c>
      <c r="G16" s="31">
        <v>15.95</v>
      </c>
    </row>
    <row r="17">
      <c r="A17" s="27" t="s">
        <v>68</v>
      </c>
      <c r="B17" s="27" t="s">
        <v>69</v>
      </c>
      <c r="C17" s="27" t="s">
        <v>70</v>
      </c>
      <c r="D17" s="28" t="s">
        <v>26</v>
      </c>
      <c r="E17" s="29">
        <v>2.9</v>
      </c>
      <c r="F17" s="11">
        <v>1998.0</v>
      </c>
      <c r="G17" s="31">
        <v>97.05</v>
      </c>
    </row>
    <row r="18">
      <c r="A18" s="27" t="s">
        <v>71</v>
      </c>
      <c r="B18" s="27" t="s">
        <v>72</v>
      </c>
      <c r="C18" s="27" t="s">
        <v>73</v>
      </c>
      <c r="D18" s="28" t="s">
        <v>26</v>
      </c>
      <c r="E18" s="29">
        <v>0.18</v>
      </c>
      <c r="F18" s="11">
        <v>1997.0</v>
      </c>
      <c r="G18" s="31">
        <v>13.02</v>
      </c>
    </row>
    <row r="19">
      <c r="A19" s="27" t="s">
        <v>74</v>
      </c>
      <c r="B19" s="27" t="s">
        <v>75</v>
      </c>
      <c r="C19" s="27" t="s">
        <v>76</v>
      </c>
      <c r="D19" s="28" t="s">
        <v>26</v>
      </c>
      <c r="E19" s="29">
        <v>36.13</v>
      </c>
      <c r="F19" s="11">
        <v>2000.0</v>
      </c>
      <c r="G19" s="31">
        <v>49.55</v>
      </c>
    </row>
    <row r="20">
      <c r="A20" s="27" t="s">
        <v>77</v>
      </c>
      <c r="B20" s="27" t="s">
        <v>78</v>
      </c>
      <c r="C20" s="27" t="s">
        <v>79</v>
      </c>
      <c r="D20" s="28" t="s">
        <v>26</v>
      </c>
      <c r="E20" s="29">
        <v>18.17</v>
      </c>
      <c r="F20" s="11">
        <v>2000.0</v>
      </c>
      <c r="G20" s="31">
        <v>46.22</v>
      </c>
    </row>
    <row r="21">
      <c r="A21" s="27" t="s">
        <v>80</v>
      </c>
      <c r="B21" s="27" t="s">
        <v>81</v>
      </c>
      <c r="C21" s="27" t="s">
        <v>82</v>
      </c>
      <c r="D21" s="28" t="s">
        <v>26</v>
      </c>
      <c r="E21" s="29">
        <v>23.35</v>
      </c>
      <c r="F21" s="11">
        <v>2016.0</v>
      </c>
      <c r="G21" s="31">
        <v>66.49</v>
      </c>
    </row>
    <row r="22">
      <c r="A22" s="27" t="s">
        <v>83</v>
      </c>
      <c r="B22" s="27" t="s">
        <v>84</v>
      </c>
      <c r="C22" s="27" t="s">
        <v>85</v>
      </c>
      <c r="D22" s="28" t="s">
        <v>26</v>
      </c>
      <c r="E22" s="29">
        <v>7.01</v>
      </c>
      <c r="F22" s="11">
        <v>2000.0</v>
      </c>
      <c r="G22" s="31">
        <v>2.78</v>
      </c>
    </row>
    <row r="23">
      <c r="A23" s="32" t="s">
        <v>290</v>
      </c>
      <c r="B23" s="27" t="s">
        <v>87</v>
      </c>
      <c r="C23" s="27" t="s">
        <v>88</v>
      </c>
      <c r="D23" s="28" t="s">
        <v>26</v>
      </c>
      <c r="E23" s="29">
        <v>216.89</v>
      </c>
      <c r="F23" s="11">
        <v>1998.0</v>
      </c>
      <c r="G23" s="31">
        <v>175.95</v>
      </c>
    </row>
    <row r="24">
      <c r="A24" s="27" t="s">
        <v>89</v>
      </c>
      <c r="B24" s="27" t="s">
        <v>90</v>
      </c>
      <c r="C24" s="27" t="s">
        <v>91</v>
      </c>
      <c r="D24" s="28" t="s">
        <v>26</v>
      </c>
      <c r="E24" s="29">
        <v>74.0</v>
      </c>
      <c r="F24" s="11">
        <v>2015.0</v>
      </c>
      <c r="G24" s="31">
        <v>162.0</v>
      </c>
    </row>
    <row r="25">
      <c r="A25" s="27" t="s">
        <v>92</v>
      </c>
      <c r="B25" s="27" t="s">
        <v>93</v>
      </c>
      <c r="C25" s="27" t="s">
        <v>94</v>
      </c>
      <c r="D25" s="28" t="s">
        <v>26</v>
      </c>
      <c r="E25" s="29">
        <v>9.35</v>
      </c>
      <c r="F25" s="11">
        <v>2000.0</v>
      </c>
      <c r="G25" s="31">
        <v>11.0</v>
      </c>
    </row>
    <row r="26">
      <c r="A26" s="27" t="s">
        <v>95</v>
      </c>
      <c r="B26" s="27" t="s">
        <v>96</v>
      </c>
      <c r="C26" s="27" t="s">
        <v>97</v>
      </c>
      <c r="D26" s="28" t="s">
        <v>26</v>
      </c>
      <c r="E26" s="29">
        <v>7.19</v>
      </c>
      <c r="F26" s="11">
        <v>2000.0</v>
      </c>
      <c r="G26" s="31">
        <v>86.61</v>
      </c>
    </row>
    <row r="27">
      <c r="A27" s="27" t="s">
        <v>98</v>
      </c>
      <c r="B27" s="27" t="s">
        <v>99</v>
      </c>
      <c r="C27" s="27" t="s">
        <v>100</v>
      </c>
      <c r="D27" s="28" t="s">
        <v>26</v>
      </c>
      <c r="E27" s="29">
        <v>1.88</v>
      </c>
      <c r="F27" s="11">
        <v>1995.0</v>
      </c>
      <c r="G27" s="31">
        <v>31.19</v>
      </c>
    </row>
    <row r="28">
      <c r="A28" s="27" t="s">
        <v>101</v>
      </c>
      <c r="B28" s="27" t="s">
        <v>102</v>
      </c>
      <c r="C28" s="27" t="s">
        <v>103</v>
      </c>
      <c r="D28" s="28" t="s">
        <v>104</v>
      </c>
      <c r="E28" s="29">
        <v>367.36</v>
      </c>
      <c r="F28" s="11">
        <v>2006.0</v>
      </c>
      <c r="G28" s="31">
        <v>415.89</v>
      </c>
    </row>
    <row r="29">
      <c r="A29" s="32" t="s">
        <v>105</v>
      </c>
      <c r="B29" s="27" t="s">
        <v>106</v>
      </c>
      <c r="C29" s="27" t="s">
        <v>107</v>
      </c>
      <c r="D29" s="28" t="s">
        <v>61</v>
      </c>
      <c r="E29" s="29">
        <v>77.36</v>
      </c>
      <c r="F29" s="11">
        <v>1995.0</v>
      </c>
      <c r="G29" s="31">
        <v>260.3</v>
      </c>
    </row>
    <row r="30">
      <c r="A30" s="27" t="s">
        <v>108</v>
      </c>
      <c r="B30" s="27" t="s">
        <v>109</v>
      </c>
      <c r="C30" s="27" t="s">
        <v>110</v>
      </c>
      <c r="D30" s="28" t="s">
        <v>26</v>
      </c>
      <c r="E30" s="29">
        <v>9.35</v>
      </c>
      <c r="F30" s="11">
        <v>2000.0</v>
      </c>
      <c r="G30" s="31">
        <v>12.82</v>
      </c>
    </row>
    <row r="31">
      <c r="A31" s="27" t="s">
        <v>111</v>
      </c>
      <c r="B31" s="27" t="s">
        <v>112</v>
      </c>
      <c r="C31" s="27" t="s">
        <v>113</v>
      </c>
      <c r="D31" s="28" t="s">
        <v>26</v>
      </c>
      <c r="E31" s="29">
        <v>11.8</v>
      </c>
      <c r="F31" s="11">
        <v>2000.0</v>
      </c>
      <c r="G31" s="31">
        <v>41.42</v>
      </c>
    </row>
    <row r="32">
      <c r="A32" s="32" t="s">
        <v>114</v>
      </c>
      <c r="B32" s="27" t="s">
        <v>115</v>
      </c>
      <c r="C32" s="27" t="s">
        <v>116</v>
      </c>
      <c r="D32" s="28" t="s">
        <v>31</v>
      </c>
      <c r="E32" s="29">
        <v>6.31</v>
      </c>
      <c r="F32" s="11">
        <v>2004.0</v>
      </c>
      <c r="G32" s="31">
        <v>35.81</v>
      </c>
    </row>
    <row r="33">
      <c r="A33" s="27" t="s">
        <v>117</v>
      </c>
      <c r="B33" s="27" t="s">
        <v>118</v>
      </c>
      <c r="C33" s="27" t="s">
        <v>119</v>
      </c>
      <c r="D33" s="28" t="s">
        <v>31</v>
      </c>
      <c r="E33" s="29">
        <v>0.47</v>
      </c>
      <c r="F33" s="11">
        <v>1984.0</v>
      </c>
      <c r="G33" s="31">
        <v>83.09</v>
      </c>
    </row>
    <row r="34">
      <c r="A34" s="32" t="s">
        <v>120</v>
      </c>
      <c r="B34" s="27" t="s">
        <v>121</v>
      </c>
      <c r="C34" s="27" t="s">
        <v>122</v>
      </c>
      <c r="D34" s="28" t="s">
        <v>26</v>
      </c>
      <c r="E34" s="29">
        <v>23.21</v>
      </c>
      <c r="F34" s="11">
        <v>2000.0</v>
      </c>
      <c r="G34" s="31">
        <v>103.4</v>
      </c>
    </row>
    <row r="35">
      <c r="A35" s="27" t="s">
        <v>123</v>
      </c>
      <c r="B35" s="27" t="s">
        <v>124</v>
      </c>
      <c r="C35" s="27" t="s">
        <v>125</v>
      </c>
      <c r="D35" s="28" t="s">
        <v>126</v>
      </c>
      <c r="E35" s="29">
        <v>10700.0</v>
      </c>
      <c r="F35" s="11">
        <v>2000.0</v>
      </c>
      <c r="G35" s="31">
        <v>22655.0</v>
      </c>
    </row>
    <row r="36">
      <c r="A36" s="27" t="s">
        <v>127</v>
      </c>
      <c r="B36" s="27" t="s">
        <v>128</v>
      </c>
      <c r="C36" s="27" t="s">
        <v>129</v>
      </c>
      <c r="D36" s="28" t="s">
        <v>26</v>
      </c>
      <c r="E36" s="29">
        <v>19.1</v>
      </c>
      <c r="F36" s="11">
        <v>2004.0</v>
      </c>
      <c r="G36" s="31">
        <v>7.28</v>
      </c>
    </row>
    <row r="37">
      <c r="A37" s="27" t="s">
        <v>130</v>
      </c>
      <c r="B37" s="27" t="s">
        <v>131</v>
      </c>
      <c r="C37" s="27" t="s">
        <v>132</v>
      </c>
      <c r="D37" s="28" t="s">
        <v>26</v>
      </c>
      <c r="E37" s="29">
        <v>167.5</v>
      </c>
      <c r="F37" s="11">
        <v>2000.0</v>
      </c>
      <c r="G37" s="31">
        <v>14.2</v>
      </c>
    </row>
    <row r="38">
      <c r="A38" s="27" t="s">
        <v>133</v>
      </c>
      <c r="B38" s="27" t="s">
        <v>134</v>
      </c>
      <c r="C38" s="27" t="s">
        <v>135</v>
      </c>
      <c r="D38" s="28" t="s">
        <v>31</v>
      </c>
      <c r="E38" s="29">
        <v>2.33</v>
      </c>
      <c r="F38" s="11">
        <v>1984.0</v>
      </c>
      <c r="G38" s="31">
        <v>144.85</v>
      </c>
    </row>
    <row r="39">
      <c r="A39" s="27" t="s">
        <v>136</v>
      </c>
      <c r="B39" s="27" t="s">
        <v>137</v>
      </c>
      <c r="C39" s="27" t="s">
        <v>138</v>
      </c>
      <c r="D39" s="28" t="s">
        <v>26</v>
      </c>
      <c r="E39" s="29">
        <v>13.56</v>
      </c>
      <c r="F39" s="11">
        <v>1987.0</v>
      </c>
      <c r="G39" s="31">
        <v>14.53</v>
      </c>
    </row>
    <row r="40">
      <c r="A40" s="27" t="s">
        <v>139</v>
      </c>
      <c r="B40" s="27" t="s">
        <v>140</v>
      </c>
      <c r="C40" s="27" t="s">
        <v>141</v>
      </c>
      <c r="D40" s="28" t="s">
        <v>26</v>
      </c>
      <c r="E40" s="29">
        <v>31.8</v>
      </c>
      <c r="F40" s="11">
        <v>2001.0</v>
      </c>
      <c r="G40" s="31">
        <v>89.85</v>
      </c>
    </row>
    <row r="41">
      <c r="A41" s="27" t="s">
        <v>142</v>
      </c>
      <c r="B41" s="27" t="s">
        <v>143</v>
      </c>
      <c r="C41" s="27" t="s">
        <v>144</v>
      </c>
      <c r="D41" s="28" t="s">
        <v>31</v>
      </c>
      <c r="E41" s="29">
        <v>9.25</v>
      </c>
      <c r="F41" s="11">
        <v>1995.0</v>
      </c>
      <c r="G41" s="31">
        <v>83.89</v>
      </c>
    </row>
    <row r="42">
      <c r="A42" s="27" t="s">
        <v>145</v>
      </c>
      <c r="B42" s="27" t="s">
        <v>146</v>
      </c>
      <c r="C42" s="27" t="s">
        <v>147</v>
      </c>
      <c r="D42" s="28" t="s">
        <v>126</v>
      </c>
      <c r="E42" s="29">
        <v>486.0</v>
      </c>
      <c r="F42" s="11">
        <v>2000.0</v>
      </c>
      <c r="G42" s="31">
        <v>2972.0</v>
      </c>
    </row>
    <row r="43">
      <c r="A43" s="32" t="s">
        <v>148</v>
      </c>
      <c r="B43" s="27" t="s">
        <v>149</v>
      </c>
      <c r="C43" s="27" t="s">
        <v>150</v>
      </c>
      <c r="D43" s="28" t="s">
        <v>26</v>
      </c>
      <c r="E43" s="29">
        <v>15.42</v>
      </c>
      <c r="F43" s="11">
        <v>2007.0</v>
      </c>
      <c r="G43" s="31">
        <v>15.86</v>
      </c>
    </row>
    <row r="44">
      <c r="A44" s="27" t="s">
        <v>151</v>
      </c>
      <c r="B44" s="27" t="s">
        <v>152</v>
      </c>
      <c r="C44" s="27" t="s">
        <v>153</v>
      </c>
      <c r="D44" s="28" t="s">
        <v>104</v>
      </c>
      <c r="E44" s="29">
        <v>609.85</v>
      </c>
      <c r="F44" s="11">
        <v>1993.0</v>
      </c>
      <c r="G44" s="31">
        <v>4637.5</v>
      </c>
    </row>
    <row r="45">
      <c r="A45" s="27" t="s">
        <v>154</v>
      </c>
      <c r="B45" s="27" t="s">
        <v>155</v>
      </c>
      <c r="C45" s="27" t="s">
        <v>156</v>
      </c>
      <c r="D45" s="28" t="s">
        <v>31</v>
      </c>
      <c r="E45" s="29">
        <v>1.34</v>
      </c>
      <c r="F45" s="11">
        <v>1984.0</v>
      </c>
      <c r="G45" s="31">
        <v>43.64</v>
      </c>
    </row>
    <row r="46">
      <c r="A46" s="32" t="s">
        <v>157</v>
      </c>
      <c r="B46" s="27" t="s">
        <v>158</v>
      </c>
      <c r="C46" s="27" t="s">
        <v>159</v>
      </c>
      <c r="D46" s="28" t="s">
        <v>26</v>
      </c>
      <c r="E46" s="29">
        <v>23.05</v>
      </c>
      <c r="F46" s="11">
        <v>2000.0</v>
      </c>
      <c r="G46" s="31">
        <v>33.0</v>
      </c>
    </row>
    <row r="47">
      <c r="A47" s="27" t="s">
        <v>160</v>
      </c>
      <c r="B47" s="27" t="s">
        <v>161</v>
      </c>
      <c r="C47" s="27" t="s">
        <v>162</v>
      </c>
      <c r="D47" s="28" t="s">
        <v>26</v>
      </c>
      <c r="E47" s="29">
        <v>10.58</v>
      </c>
      <c r="F47" s="11">
        <v>2001.0</v>
      </c>
      <c r="G47" s="31">
        <v>33.76</v>
      </c>
    </row>
    <row r="48">
      <c r="A48" s="27" t="s">
        <v>163</v>
      </c>
      <c r="B48" s="27" t="s">
        <v>164</v>
      </c>
      <c r="C48" s="27" t="s">
        <v>165</v>
      </c>
      <c r="D48" s="28" t="s">
        <v>26</v>
      </c>
      <c r="E48" s="29">
        <v>6.2</v>
      </c>
      <c r="F48" s="11">
        <v>1990.0</v>
      </c>
      <c r="G48" s="31">
        <v>24.51</v>
      </c>
    </row>
    <row r="49">
      <c r="A49" s="32" t="s">
        <v>166</v>
      </c>
      <c r="B49" s="27" t="s">
        <v>167</v>
      </c>
      <c r="C49" s="27" t="s">
        <v>168</v>
      </c>
      <c r="D49" s="28" t="s">
        <v>31</v>
      </c>
      <c r="E49" s="29">
        <v>20.86</v>
      </c>
      <c r="F49" s="11">
        <v>2008.0</v>
      </c>
      <c r="G49" s="31">
        <v>91.22</v>
      </c>
    </row>
    <row r="50">
      <c r="A50" s="27" t="s">
        <v>169</v>
      </c>
      <c r="B50" s="27" t="s">
        <v>170</v>
      </c>
      <c r="C50" s="27" t="s">
        <v>171</v>
      </c>
      <c r="D50" s="28" t="s">
        <v>104</v>
      </c>
      <c r="E50" s="29">
        <v>312.4</v>
      </c>
      <c r="F50" s="11">
        <v>1988.0</v>
      </c>
      <c r="G50" s="31">
        <v>639.0</v>
      </c>
    </row>
    <row r="51">
      <c r="A51" s="27" t="s">
        <v>172</v>
      </c>
      <c r="B51" s="27" t="s">
        <v>173</v>
      </c>
      <c r="C51" s="27" t="s">
        <v>174</v>
      </c>
      <c r="D51" s="28" t="s">
        <v>26</v>
      </c>
      <c r="E51" s="29">
        <v>14.51</v>
      </c>
      <c r="F51" s="11">
        <v>2000.0</v>
      </c>
      <c r="G51" s="31">
        <v>7.35</v>
      </c>
    </row>
    <row r="52">
      <c r="A52" s="27" t="s">
        <v>175</v>
      </c>
      <c r="B52" s="27" t="s">
        <v>176</v>
      </c>
      <c r="C52" s="27" t="s">
        <v>177</v>
      </c>
      <c r="D52" s="28" t="s">
        <v>104</v>
      </c>
      <c r="E52" s="29">
        <v>299.84</v>
      </c>
      <c r="F52" s="11">
        <v>1988.0</v>
      </c>
      <c r="G52" s="31">
        <v>524.5</v>
      </c>
    </row>
    <row r="53">
      <c r="A53" s="27" t="s">
        <v>178</v>
      </c>
      <c r="B53" s="27" t="s">
        <v>179</v>
      </c>
      <c r="C53" s="27" t="s">
        <v>180</v>
      </c>
      <c r="D53" s="28" t="s">
        <v>26</v>
      </c>
      <c r="E53" s="29">
        <v>7.41</v>
      </c>
      <c r="F53" s="11">
        <v>1998.0</v>
      </c>
      <c r="G53" s="31">
        <v>45.75</v>
      </c>
    </row>
    <row r="54">
      <c r="A54" s="27" t="s">
        <v>181</v>
      </c>
      <c r="B54" s="27" t="s">
        <v>182</v>
      </c>
      <c r="C54" s="27" t="s">
        <v>183</v>
      </c>
      <c r="D54" s="28" t="s">
        <v>31</v>
      </c>
      <c r="E54" s="29">
        <v>32.91</v>
      </c>
      <c r="F54" s="11">
        <v>2012.0</v>
      </c>
      <c r="G54" s="31">
        <v>45.01</v>
      </c>
    </row>
    <row r="55">
      <c r="A55" s="27" t="s">
        <v>184</v>
      </c>
      <c r="B55" s="27" t="s">
        <v>185</v>
      </c>
      <c r="C55" s="27" t="s">
        <v>186</v>
      </c>
      <c r="D55" s="28" t="s">
        <v>26</v>
      </c>
      <c r="E55" s="29">
        <v>96.49</v>
      </c>
      <c r="F55" s="11">
        <v>2000.0</v>
      </c>
      <c r="G55" s="31">
        <v>32.78</v>
      </c>
    </row>
    <row r="56">
      <c r="A56" s="27" t="s">
        <v>187</v>
      </c>
      <c r="B56" s="27" t="s">
        <v>188</v>
      </c>
      <c r="C56" s="27" t="s">
        <v>189</v>
      </c>
      <c r="D56" s="28" t="s">
        <v>26</v>
      </c>
      <c r="E56" s="29">
        <v>20.98</v>
      </c>
      <c r="F56" s="11">
        <v>1993.0</v>
      </c>
      <c r="G56" s="31">
        <v>64.78</v>
      </c>
    </row>
    <row r="57">
      <c r="A57" s="32" t="s">
        <v>190</v>
      </c>
      <c r="B57" s="27" t="s">
        <v>191</v>
      </c>
      <c r="C57" s="27" t="s">
        <v>192</v>
      </c>
      <c r="D57" s="28" t="s">
        <v>26</v>
      </c>
      <c r="E57" s="29">
        <v>24.54</v>
      </c>
      <c r="F57" s="11">
        <v>1998.0</v>
      </c>
      <c r="G57" s="31">
        <v>41.02</v>
      </c>
    </row>
    <row r="58">
      <c r="A58" s="27" t="s">
        <v>193</v>
      </c>
      <c r="B58" s="27" t="s">
        <v>194</v>
      </c>
      <c r="C58" s="27" t="s">
        <v>195</v>
      </c>
      <c r="D58" s="28" t="s">
        <v>26</v>
      </c>
      <c r="E58" s="29">
        <v>17.79</v>
      </c>
      <c r="F58" s="11">
        <v>2000.0</v>
      </c>
      <c r="G58" s="31">
        <v>20.76</v>
      </c>
    </row>
    <row r="59">
      <c r="A59" s="27" t="s">
        <v>196</v>
      </c>
      <c r="B59" s="27" t="s">
        <v>197</v>
      </c>
      <c r="C59" s="27" t="s">
        <v>198</v>
      </c>
      <c r="D59" s="28" t="s">
        <v>126</v>
      </c>
      <c r="E59" s="29">
        <v>6980.0</v>
      </c>
      <c r="F59" s="11">
        <v>2001.0</v>
      </c>
      <c r="G59" s="31">
        <v>18685.0</v>
      </c>
    </row>
    <row r="60">
      <c r="A60" s="27" t="s">
        <v>199</v>
      </c>
      <c r="B60" s="27" t="s">
        <v>200</v>
      </c>
      <c r="C60" s="27" t="s">
        <v>201</v>
      </c>
      <c r="D60" s="28" t="s">
        <v>104</v>
      </c>
      <c r="E60" s="29">
        <v>14.62</v>
      </c>
      <c r="F60" s="11">
        <v>1988.0</v>
      </c>
      <c r="G60" s="31">
        <v>199.05</v>
      </c>
    </row>
    <row r="61">
      <c r="A61" s="27" t="s">
        <v>202</v>
      </c>
      <c r="B61" s="27" t="s">
        <v>203</v>
      </c>
      <c r="C61" s="27" t="s">
        <v>204</v>
      </c>
      <c r="D61" s="28" t="s">
        <v>26</v>
      </c>
      <c r="E61" s="29">
        <v>2.79</v>
      </c>
      <c r="F61" s="11">
        <v>2014.0</v>
      </c>
      <c r="G61" s="31">
        <v>4.94</v>
      </c>
    </row>
    <row r="62">
      <c r="A62" s="27" t="s">
        <v>205</v>
      </c>
      <c r="B62" s="27" t="s">
        <v>206</v>
      </c>
      <c r="C62" s="27" t="s">
        <v>207</v>
      </c>
      <c r="D62" s="28" t="s">
        <v>26</v>
      </c>
      <c r="E62" s="29">
        <v>1.2049</v>
      </c>
      <c r="F62" s="11">
        <v>2001.0</v>
      </c>
      <c r="G62" s="31">
        <v>3.204</v>
      </c>
    </row>
    <row r="63">
      <c r="A63" s="27" t="s">
        <v>208</v>
      </c>
      <c r="B63" s="27" t="s">
        <v>209</v>
      </c>
      <c r="C63" s="27" t="s">
        <v>210</v>
      </c>
      <c r="D63" s="28" t="s">
        <v>26</v>
      </c>
      <c r="E63" s="29">
        <v>17.12</v>
      </c>
      <c r="F63" s="11">
        <v>2001.0</v>
      </c>
      <c r="G63" s="31">
        <v>38.99</v>
      </c>
    </row>
    <row r="64">
      <c r="A64" s="27" t="s">
        <v>211</v>
      </c>
      <c r="B64" s="27" t="s">
        <v>212</v>
      </c>
      <c r="C64" s="27" t="s">
        <v>213</v>
      </c>
      <c r="D64" s="28" t="s">
        <v>26</v>
      </c>
      <c r="E64" s="29">
        <v>0.09</v>
      </c>
      <c r="F64" s="11">
        <v>2006.0</v>
      </c>
      <c r="G64" s="31">
        <v>4.55</v>
      </c>
    </row>
    <row r="65">
      <c r="A65" s="27" t="s">
        <v>214</v>
      </c>
      <c r="B65" s="27" t="s">
        <v>215</v>
      </c>
      <c r="C65" s="27" t="s">
        <v>216</v>
      </c>
      <c r="D65" s="28" t="s">
        <v>31</v>
      </c>
      <c r="E65" s="29">
        <v>974.25</v>
      </c>
      <c r="F65" s="11">
        <v>1999.0</v>
      </c>
      <c r="G65" s="31">
        <v>1846.82</v>
      </c>
    </row>
    <row r="66">
      <c r="A66" s="32" t="s">
        <v>217</v>
      </c>
      <c r="B66" s="27" t="s">
        <v>218</v>
      </c>
      <c r="C66" s="27" t="s">
        <v>219</v>
      </c>
      <c r="D66" s="28" t="s">
        <v>26</v>
      </c>
      <c r="E66" s="29">
        <v>13.6</v>
      </c>
      <c r="F66" s="11">
        <v>2000.0</v>
      </c>
      <c r="G66" s="31">
        <v>3.42</v>
      </c>
    </row>
    <row r="67">
      <c r="A67" s="27" t="s">
        <v>220</v>
      </c>
      <c r="B67" s="27" t="s">
        <v>221</v>
      </c>
      <c r="C67" s="27" t="s">
        <v>222</v>
      </c>
      <c r="D67" s="28" t="s">
        <v>26</v>
      </c>
      <c r="E67" s="29">
        <v>16.16</v>
      </c>
      <c r="F67" s="11">
        <v>2002.0</v>
      </c>
      <c r="G67" s="31">
        <v>13.14</v>
      </c>
    </row>
    <row r="68">
      <c r="A68" s="27" t="s">
        <v>223</v>
      </c>
      <c r="B68" s="27" t="s">
        <v>224</v>
      </c>
      <c r="C68" s="27" t="s">
        <v>225</v>
      </c>
      <c r="D68" s="28" t="s">
        <v>26</v>
      </c>
      <c r="E68" s="29">
        <v>9.75</v>
      </c>
      <c r="F68" s="11">
        <v>2007.0</v>
      </c>
      <c r="G68" s="31">
        <v>21.26</v>
      </c>
    </row>
    <row r="69">
      <c r="A69" s="32" t="s">
        <v>226</v>
      </c>
      <c r="B69" s="27" t="s">
        <v>227</v>
      </c>
      <c r="C69" s="27" t="s">
        <v>228</v>
      </c>
      <c r="D69" s="28" t="s">
        <v>229</v>
      </c>
      <c r="E69" s="29">
        <v>6.206</v>
      </c>
      <c r="F69" s="11">
        <v>2000.0</v>
      </c>
      <c r="G69" s="31">
        <v>11.14</v>
      </c>
    </row>
    <row r="70">
      <c r="A70" s="27" t="s">
        <v>230</v>
      </c>
      <c r="B70" s="27" t="s">
        <v>231</v>
      </c>
      <c r="C70" s="27" t="s">
        <v>232</v>
      </c>
      <c r="D70" s="28" t="s">
        <v>26</v>
      </c>
      <c r="E70" s="29">
        <v>46.25</v>
      </c>
      <c r="F70" s="11">
        <v>2005.0</v>
      </c>
      <c r="G70" s="31">
        <v>21.73</v>
      </c>
    </row>
    <row r="71">
      <c r="A71" s="27" t="s">
        <v>233</v>
      </c>
      <c r="B71" s="27" t="s">
        <v>234</v>
      </c>
      <c r="C71" s="27" t="s">
        <v>235</v>
      </c>
      <c r="D71" s="28" t="s">
        <v>31</v>
      </c>
      <c r="E71" s="29">
        <v>45.0</v>
      </c>
      <c r="F71" s="11">
        <v>2013.0</v>
      </c>
      <c r="G71" s="31">
        <v>58.97</v>
      </c>
    </row>
    <row r="72">
      <c r="A72" s="27" t="s">
        <v>236</v>
      </c>
      <c r="B72" s="27" t="s">
        <v>237</v>
      </c>
      <c r="C72" s="27" t="s">
        <v>238</v>
      </c>
      <c r="D72" s="28" t="s">
        <v>229</v>
      </c>
      <c r="E72" s="29">
        <v>9.57</v>
      </c>
      <c r="F72" s="11">
        <v>2009.0</v>
      </c>
      <c r="G72" s="31">
        <v>17.1</v>
      </c>
    </row>
    <row r="73">
      <c r="A73" s="27" t="s">
        <v>239</v>
      </c>
      <c r="B73" s="27" t="s">
        <v>240</v>
      </c>
      <c r="C73" s="27" t="s">
        <v>241</v>
      </c>
      <c r="D73" s="28" t="s">
        <v>26</v>
      </c>
      <c r="E73" s="29">
        <v>29.5119</v>
      </c>
      <c r="F73" s="11">
        <v>2000.0</v>
      </c>
      <c r="G73" s="31">
        <v>10.155</v>
      </c>
    </row>
    <row r="74">
      <c r="A74" s="27" t="s">
        <v>242</v>
      </c>
      <c r="B74" s="27" t="s">
        <v>243</v>
      </c>
      <c r="C74" s="27" t="s">
        <v>244</v>
      </c>
      <c r="D74" s="28" t="s">
        <v>26</v>
      </c>
      <c r="E74" s="29">
        <v>10.45</v>
      </c>
      <c r="F74" s="11">
        <v>1998.0</v>
      </c>
      <c r="G74" s="31">
        <v>20.12</v>
      </c>
    </row>
    <row r="75">
      <c r="A75" s="27" t="s">
        <v>245</v>
      </c>
      <c r="B75" s="27" t="s">
        <v>246</v>
      </c>
      <c r="C75" s="27" t="s">
        <v>247</v>
      </c>
      <c r="D75" s="28" t="s">
        <v>26</v>
      </c>
      <c r="E75" s="29">
        <v>37.9</v>
      </c>
      <c r="F75" s="11">
        <v>2013.0</v>
      </c>
      <c r="G75" s="31">
        <v>18.02</v>
      </c>
    </row>
    <row r="76">
      <c r="A76" s="27" t="s">
        <v>248</v>
      </c>
      <c r="B76" s="27" t="s">
        <v>249</v>
      </c>
      <c r="C76" s="27" t="s">
        <v>250</v>
      </c>
      <c r="D76" s="28" t="s">
        <v>126</v>
      </c>
      <c r="E76" s="29">
        <v>3280.0</v>
      </c>
      <c r="F76" s="11">
        <v>2000.0</v>
      </c>
      <c r="G76" s="31">
        <v>7444.0</v>
      </c>
    </row>
    <row r="77">
      <c r="A77" s="27" t="s">
        <v>251</v>
      </c>
      <c r="B77" s="27" t="s">
        <v>252</v>
      </c>
      <c r="C77" s="27" t="s">
        <v>253</v>
      </c>
      <c r="D77" s="28" t="s">
        <v>31</v>
      </c>
      <c r="E77" s="29">
        <v>10.1</v>
      </c>
      <c r="F77" s="11">
        <v>2013.0</v>
      </c>
      <c r="G77" s="31">
        <v>9.5</v>
      </c>
    </row>
    <row r="78">
      <c r="A78" s="27" t="s">
        <v>254</v>
      </c>
      <c r="B78" s="27" t="s">
        <v>255</v>
      </c>
      <c r="C78" s="27" t="s">
        <v>256</v>
      </c>
      <c r="D78" s="28" t="s">
        <v>104</v>
      </c>
      <c r="E78" s="29">
        <v>225.2</v>
      </c>
      <c r="F78" s="11">
        <v>2019.0</v>
      </c>
      <c r="G78" s="29">
        <v>225.2</v>
      </c>
    </row>
    <row r="79">
      <c r="A79" s="27" t="s">
        <v>257</v>
      </c>
      <c r="B79" s="27" t="s">
        <v>258</v>
      </c>
      <c r="C79" s="27" t="s">
        <v>259</v>
      </c>
      <c r="D79" s="28" t="s">
        <v>26</v>
      </c>
      <c r="E79" s="29">
        <v>9.5</v>
      </c>
      <c r="F79" s="11">
        <v>2011.0</v>
      </c>
      <c r="G79" s="31">
        <v>11.7</v>
      </c>
    </row>
    <row r="80">
      <c r="A80" s="27" t="s">
        <v>260</v>
      </c>
      <c r="B80" s="27" t="s">
        <v>261</v>
      </c>
      <c r="C80" s="27" t="s">
        <v>262</v>
      </c>
      <c r="D80" s="28" t="s">
        <v>26</v>
      </c>
      <c r="E80" s="29">
        <v>17.03</v>
      </c>
      <c r="F80" s="11">
        <v>1999.0</v>
      </c>
      <c r="G80" s="31">
        <v>63.55</v>
      </c>
    </row>
    <row r="81">
      <c r="A81" s="27" t="s">
        <v>263</v>
      </c>
      <c r="B81" s="27" t="s">
        <v>264</v>
      </c>
      <c r="C81" s="27" t="s">
        <v>265</v>
      </c>
      <c r="D81" s="28" t="s">
        <v>104</v>
      </c>
      <c r="E81" s="29">
        <v>1312.0</v>
      </c>
      <c r="F81" s="11">
        <v>2015.0</v>
      </c>
      <c r="G81" s="31">
        <v>1765.0</v>
      </c>
    </row>
    <row r="82">
      <c r="A82" s="27" t="s">
        <v>266</v>
      </c>
      <c r="B82" s="27" t="s">
        <v>267</v>
      </c>
      <c r="C82" s="27" t="s">
        <v>268</v>
      </c>
      <c r="D82" s="28" t="s">
        <v>26</v>
      </c>
      <c r="E82" s="29">
        <v>12.6</v>
      </c>
      <c r="F82" s="11">
        <v>2003.0</v>
      </c>
      <c r="G82" s="31">
        <v>23.28</v>
      </c>
    </row>
    <row r="83">
      <c r="A83" s="27" t="s">
        <v>269</v>
      </c>
      <c r="B83" s="27" t="s">
        <v>270</v>
      </c>
      <c r="C83" s="27" t="s">
        <v>271</v>
      </c>
      <c r="D83" s="28" t="s">
        <v>26</v>
      </c>
      <c r="E83" s="29">
        <v>5.105</v>
      </c>
      <c r="F83" s="11">
        <v>1995.0</v>
      </c>
      <c r="G83" s="31">
        <v>4.679</v>
      </c>
    </row>
    <row r="84">
      <c r="A84" s="27" t="s">
        <v>272</v>
      </c>
      <c r="B84" s="27" t="s">
        <v>273</v>
      </c>
      <c r="C84" s="27" t="s">
        <v>274</v>
      </c>
      <c r="D84" s="28" t="s">
        <v>26</v>
      </c>
      <c r="E84" s="29">
        <v>26.64</v>
      </c>
      <c r="F84" s="11">
        <v>2000.0</v>
      </c>
      <c r="G84" s="31">
        <v>41.85</v>
      </c>
    </row>
    <row r="85">
      <c r="A85" s="27" t="s">
        <v>275</v>
      </c>
      <c r="B85" s="27" t="s">
        <v>276</v>
      </c>
      <c r="C85" s="27" t="s">
        <v>277</v>
      </c>
      <c r="D85" s="28" t="s">
        <v>31</v>
      </c>
      <c r="E85" s="29">
        <v>4.0</v>
      </c>
      <c r="F85" s="11">
        <v>1987.0</v>
      </c>
      <c r="G85" s="31">
        <v>61.77</v>
      </c>
    </row>
    <row r="86">
      <c r="A86" s="27" t="s">
        <v>278</v>
      </c>
      <c r="B86" s="27" t="s">
        <v>279</v>
      </c>
      <c r="C86" s="27" t="s">
        <v>280</v>
      </c>
      <c r="D86" s="28" t="s">
        <v>31</v>
      </c>
      <c r="E86" s="29">
        <v>43.4</v>
      </c>
      <c r="F86" s="11">
        <v>2005.0</v>
      </c>
      <c r="G86" s="31">
        <v>58.99</v>
      </c>
    </row>
    <row r="87">
      <c r="A87" s="27" t="s">
        <v>281</v>
      </c>
      <c r="B87" s="27" t="s">
        <v>282</v>
      </c>
      <c r="C87" s="27" t="s">
        <v>283</v>
      </c>
      <c r="D87" s="28" t="s">
        <v>26</v>
      </c>
      <c r="E87" s="29">
        <v>13.64</v>
      </c>
      <c r="F87" s="11">
        <v>2001.0</v>
      </c>
      <c r="G87" s="31">
        <v>32.38</v>
      </c>
    </row>
    <row r="88">
      <c r="A88" s="27" t="s">
        <v>284</v>
      </c>
      <c r="B88" s="27" t="s">
        <v>285</v>
      </c>
      <c r="C88" s="27" t="s">
        <v>286</v>
      </c>
      <c r="D88" s="28" t="s">
        <v>26</v>
      </c>
      <c r="E88" s="29">
        <v>19.9</v>
      </c>
      <c r="F88" s="11">
        <v>2006.0</v>
      </c>
      <c r="G88" s="31">
        <v>16.13</v>
      </c>
    </row>
    <row r="89">
      <c r="A89" s="32" t="s">
        <v>287</v>
      </c>
      <c r="B89" s="27" t="s">
        <v>288</v>
      </c>
      <c r="C89" s="27" t="s">
        <v>289</v>
      </c>
      <c r="D89" s="28" t="s">
        <v>31</v>
      </c>
      <c r="E89" s="29">
        <v>29.81</v>
      </c>
      <c r="F89" s="11">
        <v>2009.0</v>
      </c>
      <c r="G89" s="31">
        <v>55.5</v>
      </c>
    </row>
    <row r="90">
      <c r="G90" s="34"/>
    </row>
    <row r="91">
      <c r="G91" s="34"/>
    </row>
    <row r="92">
      <c r="G92" s="34"/>
    </row>
    <row r="93">
      <c r="G93" s="34"/>
    </row>
    <row r="94">
      <c r="G94" s="34"/>
    </row>
    <row r="95">
      <c r="G95" s="34"/>
    </row>
    <row r="96">
      <c r="G96" s="34"/>
    </row>
    <row r="97">
      <c r="G97" s="34"/>
    </row>
    <row r="98">
      <c r="G98" s="34"/>
    </row>
    <row r="99">
      <c r="G99" s="34"/>
    </row>
    <row r="100">
      <c r="G100" s="34"/>
    </row>
    <row r="101">
      <c r="G101" s="34"/>
    </row>
    <row r="102">
      <c r="G102" s="34"/>
    </row>
    <row r="103">
      <c r="G103" s="34"/>
    </row>
    <row r="104">
      <c r="G104" s="34"/>
    </row>
    <row r="105">
      <c r="G105" s="34"/>
    </row>
    <row r="106">
      <c r="G106" s="34"/>
    </row>
    <row r="107">
      <c r="G107" s="34"/>
    </row>
    <row r="108">
      <c r="G108" s="34"/>
    </row>
    <row r="109">
      <c r="G109" s="34"/>
    </row>
    <row r="110">
      <c r="G110" s="34"/>
    </row>
    <row r="111">
      <c r="G111" s="34"/>
    </row>
    <row r="112">
      <c r="G112" s="34"/>
    </row>
    <row r="113">
      <c r="G113" s="34"/>
    </row>
    <row r="114">
      <c r="G114" s="34"/>
    </row>
    <row r="115">
      <c r="G115" s="34"/>
    </row>
    <row r="116">
      <c r="G116" s="34"/>
    </row>
    <row r="117">
      <c r="G117" s="34"/>
    </row>
    <row r="118">
      <c r="G118" s="34"/>
    </row>
    <row r="119">
      <c r="G119" s="34"/>
    </row>
    <row r="120">
      <c r="G120" s="34"/>
    </row>
    <row r="121">
      <c r="G121" s="34"/>
    </row>
    <row r="122">
      <c r="G122" s="34"/>
    </row>
    <row r="123">
      <c r="G123" s="34"/>
    </row>
    <row r="124">
      <c r="G124" s="34"/>
    </row>
    <row r="125">
      <c r="G125" s="34"/>
    </row>
    <row r="126">
      <c r="G126" s="34"/>
    </row>
    <row r="127">
      <c r="G127" s="34"/>
    </row>
    <row r="128">
      <c r="G128" s="34"/>
    </row>
    <row r="129">
      <c r="G129" s="34"/>
    </row>
    <row r="130">
      <c r="G130" s="34"/>
    </row>
    <row r="131">
      <c r="G131" s="34"/>
    </row>
    <row r="132">
      <c r="G132" s="34"/>
    </row>
    <row r="133">
      <c r="G133" s="34"/>
    </row>
    <row r="134">
      <c r="G134" s="34"/>
    </row>
    <row r="135">
      <c r="G135" s="34"/>
    </row>
    <row r="136">
      <c r="G136" s="34"/>
    </row>
    <row r="137">
      <c r="G137" s="34"/>
    </row>
    <row r="138">
      <c r="G138" s="34"/>
    </row>
    <row r="139">
      <c r="G139" s="34"/>
    </row>
    <row r="140">
      <c r="G140" s="34"/>
    </row>
    <row r="141">
      <c r="G141" s="34"/>
    </row>
    <row r="142">
      <c r="G142" s="34"/>
    </row>
    <row r="143">
      <c r="G143" s="34"/>
    </row>
    <row r="144">
      <c r="G144" s="34"/>
    </row>
    <row r="145">
      <c r="G145" s="34"/>
    </row>
    <row r="146">
      <c r="G146" s="34"/>
    </row>
    <row r="147">
      <c r="G147" s="34"/>
    </row>
    <row r="148">
      <c r="G148" s="34"/>
    </row>
    <row r="149">
      <c r="G149" s="34"/>
    </row>
    <row r="150">
      <c r="G150" s="34"/>
    </row>
    <row r="151">
      <c r="G151" s="34"/>
    </row>
    <row r="152">
      <c r="G152" s="34"/>
    </row>
    <row r="153">
      <c r="G153" s="34"/>
    </row>
    <row r="154">
      <c r="G154" s="34"/>
    </row>
    <row r="155">
      <c r="G155" s="34"/>
    </row>
    <row r="156">
      <c r="G156" s="34"/>
    </row>
    <row r="157">
      <c r="G157" s="34"/>
    </row>
    <row r="158">
      <c r="G158" s="34"/>
    </row>
    <row r="159">
      <c r="G159" s="34"/>
    </row>
    <row r="160">
      <c r="G160" s="34"/>
    </row>
    <row r="161">
      <c r="G161" s="34"/>
    </row>
    <row r="162">
      <c r="G162" s="34"/>
    </row>
    <row r="163">
      <c r="G163" s="34"/>
    </row>
    <row r="164">
      <c r="G164" s="34"/>
    </row>
    <row r="165">
      <c r="G165" s="34"/>
    </row>
    <row r="166">
      <c r="G166" s="34"/>
    </row>
    <row r="167">
      <c r="G167" s="34"/>
    </row>
    <row r="168">
      <c r="G168" s="34"/>
    </row>
    <row r="169">
      <c r="G169" s="34"/>
    </row>
    <row r="170">
      <c r="G170" s="34"/>
    </row>
    <row r="171">
      <c r="G171" s="34"/>
    </row>
    <row r="172">
      <c r="G172" s="34"/>
    </row>
    <row r="173">
      <c r="G173" s="34"/>
    </row>
    <row r="174">
      <c r="G174" s="34"/>
    </row>
    <row r="175">
      <c r="G175" s="34"/>
    </row>
    <row r="176">
      <c r="G176" s="34"/>
    </row>
    <row r="177">
      <c r="G177" s="34"/>
    </row>
    <row r="178">
      <c r="G178" s="34"/>
    </row>
    <row r="179">
      <c r="G179" s="34"/>
    </row>
    <row r="180">
      <c r="G180" s="34"/>
    </row>
    <row r="181">
      <c r="G181" s="34"/>
    </row>
    <row r="182">
      <c r="G182" s="34"/>
    </row>
    <row r="183">
      <c r="G183" s="34"/>
    </row>
    <row r="184">
      <c r="G184" s="34"/>
    </row>
    <row r="185">
      <c r="G185" s="34"/>
    </row>
    <row r="186">
      <c r="G186" s="34"/>
    </row>
    <row r="187">
      <c r="G187" s="34"/>
    </row>
    <row r="188">
      <c r="G188" s="34"/>
    </row>
    <row r="189">
      <c r="G189" s="34"/>
    </row>
    <row r="190">
      <c r="G190" s="34"/>
    </row>
    <row r="191">
      <c r="G191" s="34"/>
    </row>
    <row r="192">
      <c r="G192" s="34"/>
    </row>
    <row r="193">
      <c r="G193" s="34"/>
    </row>
    <row r="194">
      <c r="G194" s="34"/>
    </row>
    <row r="195">
      <c r="G195" s="34"/>
    </row>
    <row r="196">
      <c r="G196" s="34"/>
    </row>
    <row r="197">
      <c r="G197" s="34"/>
    </row>
    <row r="198">
      <c r="G198" s="34"/>
    </row>
    <row r="199">
      <c r="G199" s="34"/>
    </row>
    <row r="200">
      <c r="G200" s="34"/>
    </row>
    <row r="201">
      <c r="G201" s="34"/>
    </row>
    <row r="202">
      <c r="G202" s="34"/>
    </row>
    <row r="203">
      <c r="G203" s="34"/>
    </row>
    <row r="204">
      <c r="G204" s="34"/>
    </row>
    <row r="205">
      <c r="G205" s="34"/>
    </row>
    <row r="206">
      <c r="G206" s="34"/>
    </row>
    <row r="207">
      <c r="G207" s="34"/>
    </row>
    <row r="208">
      <c r="G208" s="34"/>
    </row>
    <row r="209">
      <c r="G209" s="34"/>
    </row>
    <row r="210">
      <c r="G210" s="34"/>
    </row>
    <row r="211">
      <c r="G211" s="34"/>
    </row>
    <row r="212">
      <c r="G212" s="34"/>
    </row>
    <row r="213">
      <c r="G213" s="34"/>
    </row>
    <row r="214">
      <c r="G214" s="34"/>
    </row>
    <row r="215">
      <c r="G215" s="34"/>
    </row>
    <row r="216">
      <c r="G216" s="34"/>
    </row>
    <row r="217">
      <c r="G217" s="34"/>
    </row>
    <row r="218">
      <c r="G218" s="34"/>
    </row>
    <row r="219">
      <c r="G219" s="34"/>
    </row>
    <row r="220">
      <c r="G220" s="34"/>
    </row>
    <row r="221">
      <c r="G221" s="34"/>
    </row>
    <row r="222">
      <c r="G222" s="34"/>
    </row>
    <row r="223">
      <c r="G223" s="34"/>
    </row>
    <row r="224">
      <c r="G224" s="34"/>
    </row>
    <row r="225">
      <c r="G225" s="34"/>
    </row>
    <row r="226">
      <c r="G226" s="34"/>
    </row>
    <row r="227">
      <c r="G227" s="34"/>
    </row>
    <row r="228">
      <c r="G228" s="34"/>
    </row>
    <row r="229">
      <c r="G229" s="34"/>
    </row>
    <row r="230">
      <c r="G230" s="34"/>
    </row>
    <row r="231">
      <c r="G231" s="34"/>
    </row>
    <row r="232">
      <c r="G232" s="34"/>
    </row>
    <row r="233">
      <c r="G233" s="34"/>
    </row>
    <row r="234">
      <c r="G234" s="34"/>
    </row>
    <row r="235">
      <c r="G235" s="34"/>
    </row>
    <row r="236">
      <c r="G236" s="34"/>
    </row>
    <row r="237">
      <c r="G237" s="34"/>
    </row>
    <row r="238">
      <c r="G238" s="34"/>
    </row>
    <row r="239">
      <c r="G239" s="34"/>
    </row>
    <row r="240">
      <c r="G240" s="34"/>
    </row>
    <row r="241">
      <c r="G241" s="34"/>
    </row>
    <row r="242">
      <c r="G242" s="34"/>
    </row>
    <row r="243">
      <c r="G243" s="34"/>
    </row>
    <row r="244">
      <c r="G244" s="34"/>
    </row>
    <row r="245">
      <c r="G245" s="34"/>
    </row>
    <row r="246">
      <c r="G246" s="34"/>
    </row>
    <row r="247">
      <c r="G247" s="34"/>
    </row>
    <row r="248">
      <c r="G248" s="34"/>
    </row>
    <row r="249">
      <c r="G249" s="34"/>
    </row>
    <row r="250">
      <c r="G250" s="34"/>
    </row>
    <row r="251">
      <c r="G251" s="34"/>
    </row>
    <row r="252">
      <c r="G252" s="34"/>
    </row>
    <row r="253">
      <c r="G253" s="34"/>
    </row>
    <row r="254">
      <c r="G254" s="34"/>
    </row>
    <row r="255">
      <c r="G255" s="34"/>
    </row>
    <row r="256">
      <c r="G256" s="34"/>
    </row>
    <row r="257">
      <c r="G257" s="34"/>
    </row>
    <row r="258">
      <c r="G258" s="34"/>
    </row>
    <row r="259">
      <c r="G259" s="34"/>
    </row>
    <row r="260">
      <c r="G260" s="34"/>
    </row>
    <row r="261">
      <c r="G261" s="34"/>
    </row>
    <row r="262">
      <c r="G262" s="34"/>
    </row>
    <row r="263">
      <c r="G263" s="34"/>
    </row>
    <row r="264">
      <c r="G264" s="34"/>
    </row>
    <row r="265">
      <c r="G265" s="34"/>
    </row>
    <row r="266">
      <c r="G266" s="34"/>
    </row>
    <row r="267">
      <c r="G267" s="34"/>
    </row>
    <row r="268">
      <c r="G268" s="34"/>
    </row>
    <row r="269">
      <c r="G269" s="34"/>
    </row>
    <row r="270">
      <c r="G270" s="34"/>
    </row>
    <row r="271">
      <c r="G271" s="34"/>
    </row>
    <row r="272">
      <c r="G272" s="34"/>
    </row>
    <row r="273">
      <c r="G273" s="34"/>
    </row>
    <row r="274">
      <c r="G274" s="34"/>
    </row>
    <row r="275">
      <c r="G275" s="34"/>
    </row>
    <row r="276">
      <c r="G276" s="34"/>
    </row>
    <row r="277">
      <c r="G277" s="34"/>
    </row>
    <row r="278">
      <c r="G278" s="34"/>
    </row>
    <row r="279">
      <c r="G279" s="34"/>
    </row>
    <row r="280">
      <c r="G280" s="34"/>
    </row>
    <row r="281">
      <c r="G281" s="34"/>
    </row>
    <row r="282">
      <c r="G282" s="34"/>
    </row>
    <row r="283">
      <c r="G283" s="34"/>
    </row>
    <row r="284">
      <c r="G284" s="34"/>
    </row>
    <row r="285">
      <c r="G285" s="34"/>
    </row>
    <row r="286">
      <c r="G286" s="34"/>
    </row>
    <row r="287">
      <c r="G287" s="34"/>
    </row>
    <row r="288">
      <c r="G288" s="34"/>
    </row>
    <row r="289">
      <c r="G289" s="34"/>
    </row>
    <row r="290">
      <c r="G290" s="34"/>
    </row>
    <row r="291">
      <c r="G291" s="34"/>
    </row>
    <row r="292">
      <c r="G292" s="34"/>
    </row>
    <row r="293">
      <c r="G293" s="34"/>
    </row>
    <row r="294">
      <c r="G294" s="34"/>
    </row>
    <row r="295">
      <c r="G295" s="34"/>
    </row>
    <row r="296">
      <c r="G296" s="34"/>
    </row>
    <row r="297">
      <c r="G297" s="34"/>
    </row>
    <row r="298">
      <c r="G298" s="34"/>
    </row>
    <row r="299">
      <c r="G299" s="34"/>
    </row>
    <row r="300">
      <c r="G300" s="34"/>
    </row>
    <row r="301">
      <c r="G301" s="34"/>
    </row>
    <row r="302">
      <c r="G302" s="34"/>
    </row>
    <row r="303">
      <c r="G303" s="34"/>
    </row>
    <row r="304">
      <c r="G304" s="34"/>
    </row>
    <row r="305">
      <c r="G305" s="34"/>
    </row>
    <row r="306">
      <c r="G306" s="34"/>
    </row>
    <row r="307">
      <c r="G307" s="34"/>
    </row>
    <row r="308">
      <c r="G308" s="34"/>
    </row>
    <row r="309">
      <c r="G309" s="34"/>
    </row>
    <row r="310">
      <c r="G310" s="34"/>
    </row>
    <row r="311">
      <c r="G311" s="34"/>
    </row>
    <row r="312">
      <c r="G312" s="34"/>
    </row>
    <row r="313">
      <c r="G313" s="34"/>
    </row>
    <row r="314">
      <c r="G314" s="34"/>
    </row>
    <row r="315">
      <c r="G315" s="34"/>
    </row>
    <row r="316">
      <c r="G316" s="34"/>
    </row>
    <row r="317">
      <c r="G317" s="34"/>
    </row>
    <row r="318">
      <c r="G318" s="34"/>
    </row>
    <row r="319">
      <c r="G319" s="34"/>
    </row>
    <row r="320">
      <c r="G320" s="34"/>
    </row>
    <row r="321">
      <c r="G321" s="34"/>
    </row>
    <row r="322">
      <c r="G322" s="34"/>
    </row>
    <row r="323">
      <c r="G323" s="34"/>
    </row>
    <row r="324">
      <c r="G324" s="34"/>
    </row>
    <row r="325">
      <c r="G325" s="34"/>
    </row>
    <row r="326">
      <c r="G326" s="34"/>
    </row>
    <row r="327">
      <c r="G327" s="34"/>
    </row>
    <row r="328">
      <c r="G328" s="34"/>
    </row>
    <row r="329">
      <c r="G329" s="34"/>
    </row>
    <row r="330">
      <c r="G330" s="34"/>
    </row>
    <row r="331">
      <c r="G331" s="34"/>
    </row>
    <row r="332">
      <c r="G332" s="34"/>
    </row>
    <row r="333">
      <c r="G333" s="34"/>
    </row>
    <row r="334">
      <c r="G334" s="34"/>
    </row>
    <row r="335">
      <c r="G335" s="34"/>
    </row>
    <row r="336">
      <c r="G336" s="34"/>
    </row>
    <row r="337">
      <c r="G337" s="34"/>
    </row>
    <row r="338">
      <c r="G338" s="34"/>
    </row>
    <row r="339">
      <c r="G339" s="34"/>
    </row>
    <row r="340">
      <c r="G340" s="34"/>
    </row>
    <row r="341">
      <c r="G341" s="34"/>
    </row>
    <row r="342">
      <c r="G342" s="34"/>
    </row>
    <row r="343">
      <c r="G343" s="34"/>
    </row>
    <row r="344">
      <c r="G344" s="34"/>
    </row>
    <row r="345">
      <c r="G345" s="34"/>
    </row>
    <row r="346">
      <c r="G346" s="34"/>
    </row>
    <row r="347">
      <c r="G347" s="34"/>
    </row>
    <row r="348">
      <c r="G348" s="34"/>
    </row>
    <row r="349">
      <c r="G349" s="34"/>
    </row>
    <row r="350">
      <c r="G350" s="34"/>
    </row>
    <row r="351">
      <c r="G351" s="34"/>
    </row>
    <row r="352">
      <c r="G352" s="34"/>
    </row>
    <row r="353">
      <c r="G353" s="34"/>
    </row>
    <row r="354">
      <c r="G354" s="34"/>
    </row>
    <row r="355">
      <c r="G355" s="34"/>
    </row>
    <row r="356">
      <c r="G356" s="34"/>
    </row>
    <row r="357">
      <c r="G357" s="34"/>
    </row>
    <row r="358">
      <c r="G358" s="34"/>
    </row>
    <row r="359">
      <c r="G359" s="34"/>
    </row>
    <row r="360">
      <c r="G360" s="34"/>
    </row>
    <row r="361">
      <c r="G361" s="34"/>
    </row>
    <row r="362">
      <c r="G362" s="34"/>
    </row>
    <row r="363">
      <c r="G363" s="34"/>
    </row>
    <row r="364">
      <c r="G364" s="34"/>
    </row>
    <row r="365">
      <c r="G365" s="34"/>
    </row>
    <row r="366">
      <c r="G366" s="34"/>
    </row>
    <row r="367">
      <c r="G367" s="34"/>
    </row>
    <row r="368">
      <c r="G368" s="34"/>
    </row>
    <row r="369">
      <c r="G369" s="34"/>
    </row>
    <row r="370">
      <c r="G370" s="34"/>
    </row>
    <row r="371">
      <c r="G371" s="34"/>
    </row>
    <row r="372">
      <c r="G372" s="34"/>
    </row>
    <row r="373">
      <c r="G373" s="34"/>
    </row>
    <row r="374">
      <c r="G374" s="34"/>
    </row>
    <row r="375">
      <c r="G375" s="34"/>
    </row>
    <row r="376">
      <c r="G376" s="34"/>
    </row>
    <row r="377">
      <c r="G377" s="34"/>
    </row>
    <row r="378">
      <c r="G378" s="34"/>
    </row>
    <row r="379">
      <c r="G379" s="34"/>
    </row>
    <row r="380">
      <c r="G380" s="34"/>
    </row>
    <row r="381">
      <c r="G381" s="34"/>
    </row>
    <row r="382">
      <c r="G382" s="34"/>
    </row>
    <row r="383">
      <c r="G383" s="34"/>
    </row>
    <row r="384">
      <c r="G384" s="34"/>
    </row>
    <row r="385">
      <c r="G385" s="34"/>
    </row>
    <row r="386">
      <c r="G386" s="34"/>
    </row>
    <row r="387">
      <c r="G387" s="34"/>
    </row>
    <row r="388">
      <c r="G388" s="34"/>
    </row>
    <row r="389">
      <c r="G389" s="34"/>
    </row>
    <row r="390">
      <c r="G390" s="34"/>
    </row>
    <row r="391">
      <c r="G391" s="34"/>
    </row>
    <row r="392">
      <c r="G392" s="34"/>
    </row>
    <row r="393">
      <c r="G393" s="34"/>
    </row>
    <row r="394">
      <c r="G394" s="34"/>
    </row>
    <row r="395">
      <c r="G395" s="34"/>
    </row>
    <row r="396">
      <c r="G396" s="34"/>
    </row>
    <row r="397">
      <c r="G397" s="34"/>
    </row>
    <row r="398">
      <c r="G398" s="34"/>
    </row>
    <row r="399">
      <c r="G399" s="34"/>
    </row>
    <row r="400">
      <c r="G400" s="34"/>
    </row>
    <row r="401">
      <c r="G401" s="34"/>
    </row>
    <row r="402">
      <c r="G402" s="34"/>
    </row>
    <row r="403">
      <c r="G403" s="34"/>
    </row>
    <row r="404">
      <c r="G404" s="34"/>
    </row>
    <row r="405">
      <c r="G405" s="34"/>
    </row>
    <row r="406">
      <c r="G406" s="34"/>
    </row>
    <row r="407">
      <c r="G407" s="34"/>
    </row>
    <row r="408">
      <c r="G408" s="34"/>
    </row>
    <row r="409">
      <c r="G409" s="34"/>
    </row>
    <row r="410">
      <c r="G410" s="34"/>
    </row>
    <row r="411">
      <c r="G411" s="34"/>
    </row>
    <row r="412">
      <c r="G412" s="34"/>
    </row>
    <row r="413">
      <c r="G413" s="34"/>
    </row>
    <row r="414">
      <c r="G414" s="34"/>
    </row>
    <row r="415">
      <c r="G415" s="34"/>
    </row>
    <row r="416">
      <c r="G416" s="34"/>
    </row>
    <row r="417">
      <c r="G417" s="34"/>
    </row>
    <row r="418">
      <c r="G418" s="34"/>
    </row>
    <row r="419">
      <c r="G419" s="34"/>
    </row>
    <row r="420">
      <c r="G420" s="34"/>
    </row>
    <row r="421">
      <c r="G421" s="34"/>
    </row>
    <row r="422">
      <c r="G422" s="34"/>
    </row>
    <row r="423">
      <c r="G423" s="34"/>
    </row>
    <row r="424">
      <c r="G424" s="34"/>
    </row>
    <row r="425">
      <c r="G425" s="34"/>
    </row>
    <row r="426">
      <c r="G426" s="34"/>
    </row>
    <row r="427">
      <c r="G427" s="34"/>
    </row>
    <row r="428">
      <c r="G428" s="34"/>
    </row>
    <row r="429">
      <c r="G429" s="34"/>
    </row>
    <row r="430">
      <c r="G430" s="34"/>
    </row>
    <row r="431">
      <c r="G431" s="34"/>
    </row>
    <row r="432">
      <c r="G432" s="34"/>
    </row>
    <row r="433">
      <c r="G433" s="34"/>
    </row>
    <row r="434">
      <c r="G434" s="34"/>
    </row>
    <row r="435">
      <c r="G435" s="34"/>
    </row>
    <row r="436">
      <c r="G436" s="34"/>
    </row>
    <row r="437">
      <c r="G437" s="34"/>
    </row>
    <row r="438">
      <c r="G438" s="34"/>
    </row>
    <row r="439">
      <c r="G439" s="34"/>
    </row>
    <row r="440">
      <c r="G440" s="34"/>
    </row>
    <row r="441">
      <c r="G441" s="34"/>
    </row>
    <row r="442">
      <c r="G442" s="34"/>
    </row>
    <row r="443">
      <c r="G443" s="34"/>
    </row>
    <row r="444">
      <c r="G444" s="34"/>
    </row>
    <row r="445">
      <c r="G445" s="34"/>
    </row>
    <row r="446">
      <c r="G446" s="34"/>
    </row>
    <row r="447">
      <c r="G447" s="34"/>
    </row>
    <row r="448">
      <c r="G448" s="34"/>
    </row>
    <row r="449">
      <c r="G449" s="34"/>
    </row>
    <row r="450">
      <c r="G450" s="34"/>
    </row>
    <row r="451">
      <c r="G451" s="34"/>
    </row>
    <row r="452">
      <c r="G452" s="34"/>
    </row>
    <row r="453">
      <c r="G453" s="34"/>
    </row>
    <row r="454">
      <c r="G454" s="34"/>
    </row>
    <row r="455">
      <c r="G455" s="34"/>
    </row>
    <row r="456">
      <c r="G456" s="34"/>
    </row>
    <row r="457">
      <c r="G457" s="34"/>
    </row>
    <row r="458">
      <c r="G458" s="34"/>
    </row>
    <row r="459">
      <c r="G459" s="34"/>
    </row>
    <row r="460">
      <c r="G460" s="34"/>
    </row>
    <row r="461">
      <c r="G461" s="34"/>
    </row>
    <row r="462">
      <c r="G462" s="34"/>
    </row>
    <row r="463">
      <c r="G463" s="34"/>
    </row>
    <row r="464">
      <c r="G464" s="34"/>
    </row>
    <row r="465">
      <c r="G465" s="34"/>
    </row>
    <row r="466">
      <c r="G466" s="34"/>
    </row>
    <row r="467">
      <c r="G467" s="34"/>
    </row>
    <row r="468">
      <c r="G468" s="34"/>
    </row>
    <row r="469">
      <c r="G469" s="34"/>
    </row>
    <row r="470">
      <c r="G470" s="34"/>
    </row>
    <row r="471">
      <c r="G471" s="34"/>
    </row>
    <row r="472">
      <c r="G472" s="34"/>
    </row>
    <row r="473">
      <c r="G473" s="34"/>
    </row>
    <row r="474">
      <c r="G474" s="34"/>
    </row>
    <row r="475">
      <c r="G475" s="34"/>
    </row>
    <row r="476">
      <c r="G476" s="34"/>
    </row>
    <row r="477">
      <c r="G477" s="34"/>
    </row>
    <row r="478">
      <c r="G478" s="34"/>
    </row>
    <row r="479">
      <c r="G479" s="34"/>
    </row>
    <row r="480">
      <c r="G480" s="34"/>
    </row>
    <row r="481">
      <c r="G481" s="34"/>
    </row>
    <row r="482">
      <c r="G482" s="34"/>
    </row>
    <row r="483">
      <c r="G483" s="34"/>
    </row>
    <row r="484">
      <c r="G484" s="34"/>
    </row>
    <row r="485">
      <c r="G485" s="34"/>
    </row>
    <row r="486">
      <c r="G486" s="34"/>
    </row>
    <row r="487">
      <c r="G487" s="34"/>
    </row>
    <row r="488">
      <c r="G488" s="34"/>
    </row>
    <row r="489">
      <c r="G489" s="34"/>
    </row>
    <row r="490">
      <c r="G490" s="34"/>
    </row>
    <row r="491">
      <c r="G491" s="34"/>
    </row>
    <row r="492">
      <c r="G492" s="34"/>
    </row>
    <row r="493">
      <c r="G493" s="34"/>
    </row>
    <row r="494">
      <c r="G494" s="34"/>
    </row>
    <row r="495">
      <c r="G495" s="34"/>
    </row>
    <row r="496">
      <c r="G496" s="34"/>
    </row>
    <row r="497">
      <c r="G497" s="34"/>
    </row>
    <row r="498">
      <c r="G498" s="34"/>
    </row>
    <row r="499">
      <c r="G499" s="34"/>
    </row>
    <row r="500">
      <c r="G500" s="34"/>
    </row>
    <row r="501">
      <c r="G501" s="34"/>
    </row>
    <row r="502">
      <c r="G502" s="34"/>
    </row>
    <row r="503">
      <c r="G503" s="34"/>
    </row>
    <row r="504">
      <c r="G504" s="34"/>
    </row>
    <row r="505">
      <c r="G505" s="34"/>
    </row>
    <row r="506">
      <c r="G506" s="34"/>
    </row>
    <row r="507">
      <c r="G507" s="34"/>
    </row>
    <row r="508">
      <c r="G508" s="34"/>
    </row>
    <row r="509">
      <c r="G509" s="34"/>
    </row>
    <row r="510">
      <c r="G510" s="34"/>
    </row>
    <row r="511">
      <c r="G511" s="34"/>
    </row>
    <row r="512">
      <c r="G512" s="34"/>
    </row>
    <row r="513">
      <c r="G513" s="34"/>
    </row>
    <row r="514">
      <c r="G514" s="34"/>
    </row>
    <row r="515">
      <c r="G515" s="34"/>
    </row>
    <row r="516">
      <c r="G516" s="34"/>
    </row>
    <row r="517">
      <c r="G517" s="34"/>
    </row>
    <row r="518">
      <c r="G518" s="34"/>
    </row>
    <row r="519">
      <c r="G519" s="34"/>
    </row>
    <row r="520">
      <c r="G520" s="34"/>
    </row>
    <row r="521">
      <c r="G521" s="34"/>
    </row>
    <row r="522">
      <c r="G522" s="34"/>
    </row>
    <row r="523">
      <c r="G523" s="34"/>
    </row>
    <row r="524">
      <c r="G524" s="34"/>
    </row>
    <row r="525">
      <c r="G525" s="34"/>
    </row>
    <row r="526">
      <c r="G526" s="34"/>
    </row>
    <row r="527">
      <c r="G527" s="34"/>
    </row>
    <row r="528">
      <c r="G528" s="34"/>
    </row>
    <row r="529">
      <c r="G529" s="34"/>
    </row>
    <row r="530">
      <c r="G530" s="34"/>
    </row>
    <row r="531">
      <c r="G531" s="34"/>
    </row>
    <row r="532">
      <c r="G532" s="34"/>
    </row>
    <row r="533">
      <c r="G533" s="34"/>
    </row>
    <row r="534">
      <c r="G534" s="34"/>
    </row>
    <row r="535">
      <c r="G535" s="34"/>
    </row>
    <row r="536">
      <c r="G536" s="34"/>
    </row>
    <row r="537">
      <c r="G537" s="34"/>
    </row>
    <row r="538">
      <c r="G538" s="34"/>
    </row>
    <row r="539">
      <c r="G539" s="34"/>
    </row>
    <row r="540">
      <c r="G540" s="34"/>
    </row>
    <row r="541">
      <c r="G541" s="34"/>
    </row>
    <row r="542">
      <c r="G542" s="34"/>
    </row>
    <row r="543">
      <c r="G543" s="34"/>
    </row>
    <row r="544">
      <c r="G544" s="34"/>
    </row>
    <row r="545">
      <c r="G545" s="34"/>
    </row>
    <row r="546">
      <c r="G546" s="34"/>
    </row>
    <row r="547">
      <c r="G547" s="34"/>
    </row>
    <row r="548">
      <c r="G548" s="34"/>
    </row>
    <row r="549">
      <c r="G549" s="34"/>
    </row>
    <row r="550">
      <c r="G550" s="34"/>
    </row>
    <row r="551">
      <c r="G551" s="34"/>
    </row>
    <row r="552">
      <c r="G552" s="34"/>
    </row>
    <row r="553">
      <c r="G553" s="34"/>
    </row>
    <row r="554">
      <c r="G554" s="34"/>
    </row>
    <row r="555">
      <c r="G555" s="34"/>
    </row>
    <row r="556">
      <c r="G556" s="34"/>
    </row>
    <row r="557">
      <c r="G557" s="34"/>
    </row>
    <row r="558">
      <c r="G558" s="34"/>
    </row>
    <row r="559">
      <c r="G559" s="34"/>
    </row>
    <row r="560">
      <c r="G560" s="34"/>
    </row>
    <row r="561">
      <c r="G561" s="34"/>
    </row>
    <row r="562">
      <c r="G562" s="34"/>
    </row>
    <row r="563">
      <c r="G563" s="34"/>
    </row>
    <row r="564">
      <c r="G564" s="34"/>
    </row>
    <row r="565">
      <c r="G565" s="34"/>
    </row>
    <row r="566">
      <c r="G566" s="34"/>
    </row>
    <row r="567">
      <c r="G567" s="34"/>
    </row>
    <row r="568">
      <c r="G568" s="34"/>
    </row>
    <row r="569">
      <c r="G569" s="34"/>
    </row>
    <row r="570">
      <c r="G570" s="34"/>
    </row>
    <row r="571">
      <c r="G571" s="34"/>
    </row>
    <row r="572">
      <c r="G572" s="34"/>
    </row>
    <row r="573">
      <c r="G573" s="34"/>
    </row>
    <row r="574">
      <c r="G574" s="34"/>
    </row>
    <row r="575">
      <c r="G575" s="34"/>
    </row>
    <row r="576">
      <c r="G576" s="34"/>
    </row>
    <row r="577">
      <c r="G577" s="34"/>
    </row>
    <row r="578">
      <c r="G578" s="34"/>
    </row>
    <row r="579">
      <c r="G579" s="34"/>
    </row>
    <row r="580">
      <c r="G580" s="34"/>
    </row>
    <row r="581">
      <c r="G581" s="34"/>
    </row>
    <row r="582">
      <c r="G582" s="34"/>
    </row>
    <row r="583">
      <c r="G583" s="34"/>
    </row>
    <row r="584">
      <c r="G584" s="34"/>
    </row>
    <row r="585">
      <c r="G585" s="34"/>
    </row>
    <row r="586">
      <c r="G586" s="34"/>
    </row>
    <row r="587">
      <c r="G587" s="34"/>
    </row>
    <row r="588">
      <c r="G588" s="34"/>
    </row>
    <row r="589">
      <c r="G589" s="34"/>
    </row>
    <row r="590">
      <c r="G590" s="34"/>
    </row>
    <row r="591">
      <c r="G591" s="34"/>
    </row>
    <row r="592">
      <c r="G592" s="34"/>
    </row>
    <row r="593">
      <c r="G593" s="34"/>
    </row>
    <row r="594">
      <c r="G594" s="34"/>
    </row>
    <row r="595">
      <c r="G595" s="34"/>
    </row>
    <row r="596">
      <c r="G596" s="34"/>
    </row>
    <row r="597">
      <c r="G597" s="34"/>
    </row>
    <row r="598">
      <c r="G598" s="34"/>
    </row>
    <row r="599">
      <c r="G599" s="34"/>
    </row>
    <row r="600">
      <c r="G600" s="34"/>
    </row>
    <row r="601">
      <c r="G601" s="34"/>
    </row>
    <row r="602">
      <c r="G602" s="34"/>
    </row>
    <row r="603">
      <c r="G603" s="34"/>
    </row>
    <row r="604">
      <c r="G604" s="34"/>
    </row>
    <row r="605">
      <c r="G605" s="34"/>
    </row>
    <row r="606">
      <c r="G606" s="34"/>
    </row>
    <row r="607">
      <c r="G607" s="34"/>
    </row>
    <row r="608">
      <c r="G608" s="34"/>
    </row>
    <row r="609">
      <c r="G609" s="34"/>
    </row>
    <row r="610">
      <c r="G610" s="34"/>
    </row>
    <row r="611">
      <c r="G611" s="34"/>
    </row>
    <row r="612">
      <c r="G612" s="34"/>
    </row>
    <row r="613">
      <c r="G613" s="34"/>
    </row>
    <row r="614">
      <c r="G614" s="34"/>
    </row>
    <row r="615">
      <c r="G615" s="34"/>
    </row>
    <row r="616">
      <c r="G616" s="34"/>
    </row>
    <row r="617">
      <c r="G617" s="34"/>
    </row>
    <row r="618">
      <c r="G618" s="34"/>
    </row>
    <row r="619">
      <c r="G619" s="34"/>
    </row>
    <row r="620">
      <c r="G620" s="34"/>
    </row>
    <row r="621">
      <c r="G621" s="34"/>
    </row>
    <row r="622">
      <c r="G622" s="34"/>
    </row>
    <row r="623">
      <c r="G623" s="34"/>
    </row>
    <row r="624">
      <c r="G624" s="34"/>
    </row>
    <row r="625">
      <c r="G625" s="34"/>
    </row>
    <row r="626">
      <c r="G626" s="34"/>
    </row>
    <row r="627">
      <c r="G627" s="34"/>
    </row>
    <row r="628">
      <c r="G628" s="34"/>
    </row>
    <row r="629">
      <c r="G629" s="34"/>
    </row>
    <row r="630">
      <c r="G630" s="34"/>
    </row>
    <row r="631">
      <c r="G631" s="34"/>
    </row>
    <row r="632">
      <c r="G632" s="34"/>
    </row>
    <row r="633">
      <c r="G633" s="34"/>
    </row>
    <row r="634">
      <c r="G634" s="34"/>
    </row>
    <row r="635">
      <c r="G635" s="34"/>
    </row>
    <row r="636">
      <c r="G636" s="34"/>
    </row>
    <row r="637">
      <c r="G637" s="34"/>
    </row>
    <row r="638">
      <c r="G638" s="34"/>
    </row>
    <row r="639">
      <c r="G639" s="34"/>
    </row>
    <row r="640">
      <c r="G640" s="34"/>
    </row>
    <row r="641">
      <c r="G641" s="34"/>
    </row>
    <row r="642">
      <c r="G642" s="34"/>
    </row>
    <row r="643">
      <c r="G643" s="34"/>
    </row>
    <row r="644">
      <c r="G644" s="34"/>
    </row>
    <row r="645">
      <c r="G645" s="34"/>
    </row>
    <row r="646">
      <c r="G646" s="34"/>
    </row>
    <row r="647">
      <c r="G647" s="34"/>
    </row>
    <row r="648">
      <c r="G648" s="34"/>
    </row>
    <row r="649">
      <c r="G649" s="34"/>
    </row>
    <row r="650">
      <c r="G650" s="34"/>
    </row>
    <row r="651">
      <c r="G651" s="34"/>
    </row>
    <row r="652">
      <c r="G652" s="34"/>
    </row>
    <row r="653">
      <c r="G653" s="34"/>
    </row>
    <row r="654">
      <c r="G654" s="34"/>
    </row>
    <row r="655">
      <c r="G655" s="34"/>
    </row>
    <row r="656">
      <c r="G656" s="34"/>
    </row>
    <row r="657">
      <c r="G657" s="34"/>
    </row>
    <row r="658">
      <c r="G658" s="34"/>
    </row>
    <row r="659">
      <c r="G659" s="34"/>
    </row>
    <row r="660">
      <c r="G660" s="34"/>
    </row>
    <row r="661">
      <c r="G661" s="34"/>
    </row>
    <row r="662">
      <c r="G662" s="34"/>
    </row>
    <row r="663">
      <c r="G663" s="34"/>
    </row>
    <row r="664">
      <c r="G664" s="34"/>
    </row>
    <row r="665">
      <c r="G665" s="34"/>
    </row>
    <row r="666">
      <c r="G666" s="34"/>
    </row>
    <row r="667">
      <c r="G667" s="34"/>
    </row>
    <row r="668">
      <c r="G668" s="34"/>
    </row>
    <row r="669">
      <c r="G669" s="34"/>
    </row>
    <row r="670">
      <c r="G670" s="34"/>
    </row>
    <row r="671">
      <c r="G671" s="34"/>
    </row>
    <row r="672">
      <c r="G672" s="34"/>
    </row>
    <row r="673">
      <c r="G673" s="34"/>
    </row>
    <row r="674">
      <c r="G674" s="34"/>
    </row>
    <row r="675">
      <c r="G675" s="34"/>
    </row>
    <row r="676">
      <c r="G676" s="34"/>
    </row>
    <row r="677">
      <c r="G677" s="34"/>
    </row>
    <row r="678">
      <c r="G678" s="34"/>
    </row>
    <row r="679">
      <c r="G679" s="34"/>
    </row>
    <row r="680">
      <c r="G680" s="34"/>
    </row>
    <row r="681">
      <c r="G681" s="34"/>
    </row>
    <row r="682">
      <c r="G682" s="34"/>
    </row>
    <row r="683">
      <c r="G683" s="34"/>
    </row>
    <row r="684">
      <c r="G684" s="34"/>
    </row>
    <row r="685">
      <c r="G685" s="34"/>
    </row>
    <row r="686">
      <c r="G686" s="34"/>
    </row>
    <row r="687">
      <c r="G687" s="34"/>
    </row>
    <row r="688">
      <c r="G688" s="34"/>
    </row>
    <row r="689">
      <c r="G689" s="34"/>
    </row>
    <row r="690">
      <c r="G690" s="34"/>
    </row>
    <row r="691">
      <c r="G691" s="34"/>
    </row>
    <row r="692">
      <c r="G692" s="34"/>
    </row>
    <row r="693">
      <c r="G693" s="34"/>
    </row>
    <row r="694">
      <c r="G694" s="34"/>
    </row>
    <row r="695">
      <c r="G695" s="34"/>
    </row>
    <row r="696">
      <c r="G696" s="34"/>
    </row>
    <row r="697">
      <c r="G697" s="34"/>
    </row>
    <row r="698">
      <c r="G698" s="34"/>
    </row>
    <row r="699">
      <c r="G699" s="34"/>
    </row>
    <row r="700">
      <c r="G700" s="34"/>
    </row>
    <row r="701">
      <c r="G701" s="34"/>
    </row>
    <row r="702">
      <c r="G702" s="34"/>
    </row>
    <row r="703">
      <c r="G703" s="34"/>
    </row>
    <row r="704">
      <c r="G704" s="34"/>
    </row>
    <row r="705">
      <c r="G705" s="34"/>
    </row>
    <row r="706">
      <c r="G706" s="34"/>
    </row>
    <row r="707">
      <c r="G707" s="34"/>
    </row>
    <row r="708">
      <c r="G708" s="34"/>
    </row>
    <row r="709">
      <c r="G709" s="34"/>
    </row>
    <row r="710">
      <c r="G710" s="34"/>
    </row>
    <row r="711">
      <c r="G711" s="34"/>
    </row>
    <row r="712">
      <c r="G712" s="34"/>
    </row>
    <row r="713">
      <c r="G713" s="34"/>
    </row>
    <row r="714">
      <c r="G714" s="34"/>
    </row>
    <row r="715">
      <c r="G715" s="34"/>
    </row>
    <row r="716">
      <c r="G716" s="34"/>
    </row>
    <row r="717">
      <c r="G717" s="34"/>
    </row>
    <row r="718">
      <c r="G718" s="34"/>
    </row>
    <row r="719">
      <c r="G719" s="34"/>
    </row>
    <row r="720">
      <c r="G720" s="34"/>
    </row>
    <row r="721">
      <c r="G721" s="34"/>
    </row>
    <row r="722">
      <c r="G722" s="34"/>
    </row>
    <row r="723">
      <c r="G723" s="34"/>
    </row>
    <row r="724">
      <c r="G724" s="34"/>
    </row>
    <row r="725">
      <c r="G725" s="34"/>
    </row>
    <row r="726">
      <c r="G726" s="34"/>
    </row>
    <row r="727">
      <c r="G727" s="34"/>
    </row>
    <row r="728">
      <c r="G728" s="34"/>
    </row>
    <row r="729">
      <c r="G729" s="34"/>
    </row>
    <row r="730">
      <c r="G730" s="34"/>
    </row>
    <row r="731">
      <c r="G731" s="34"/>
    </row>
    <row r="732">
      <c r="G732" s="34"/>
    </row>
    <row r="733">
      <c r="G733" s="34"/>
    </row>
    <row r="734">
      <c r="G734" s="34"/>
    </row>
    <row r="735">
      <c r="G735" s="34"/>
    </row>
    <row r="736">
      <c r="G736" s="34"/>
    </row>
    <row r="737">
      <c r="G737" s="34"/>
    </row>
    <row r="738">
      <c r="G738" s="34"/>
    </row>
    <row r="739">
      <c r="G739" s="34"/>
    </row>
    <row r="740">
      <c r="G740" s="34"/>
    </row>
    <row r="741">
      <c r="G741" s="34"/>
    </row>
    <row r="742">
      <c r="G742" s="34"/>
    </row>
    <row r="743">
      <c r="G743" s="34"/>
    </row>
    <row r="744">
      <c r="G744" s="34"/>
    </row>
    <row r="745">
      <c r="G745" s="34"/>
    </row>
    <row r="746">
      <c r="G746" s="34"/>
    </row>
    <row r="747">
      <c r="G747" s="34"/>
    </row>
    <row r="748">
      <c r="G748" s="34"/>
    </row>
    <row r="749">
      <c r="G749" s="34"/>
    </row>
    <row r="750">
      <c r="G750" s="34"/>
    </row>
    <row r="751">
      <c r="G751" s="34"/>
    </row>
    <row r="752">
      <c r="G752" s="34"/>
    </row>
    <row r="753">
      <c r="G753" s="34"/>
    </row>
    <row r="754">
      <c r="G754" s="34"/>
    </row>
    <row r="755">
      <c r="G755" s="34"/>
    </row>
    <row r="756">
      <c r="G756" s="34"/>
    </row>
    <row r="757">
      <c r="G757" s="34"/>
    </row>
    <row r="758">
      <c r="G758" s="34"/>
    </row>
    <row r="759">
      <c r="G759" s="34"/>
    </row>
    <row r="760">
      <c r="G760" s="34"/>
    </row>
    <row r="761">
      <c r="G761" s="34"/>
    </row>
    <row r="762">
      <c r="G762" s="34"/>
    </row>
    <row r="763">
      <c r="G763" s="34"/>
    </row>
    <row r="764">
      <c r="G764" s="34"/>
    </row>
    <row r="765">
      <c r="G765" s="34"/>
    </row>
    <row r="766">
      <c r="G766" s="34"/>
    </row>
    <row r="767">
      <c r="G767" s="34"/>
    </row>
    <row r="768">
      <c r="G768" s="34"/>
    </row>
    <row r="769">
      <c r="G769" s="34"/>
    </row>
    <row r="770">
      <c r="G770" s="34"/>
    </row>
    <row r="771">
      <c r="G771" s="34"/>
    </row>
    <row r="772">
      <c r="G772" s="34"/>
    </row>
    <row r="773">
      <c r="G773" s="34"/>
    </row>
    <row r="774">
      <c r="G774" s="34"/>
    </row>
    <row r="775">
      <c r="G775" s="34"/>
    </row>
    <row r="776">
      <c r="G776" s="34"/>
    </row>
    <row r="777">
      <c r="G777" s="34"/>
    </row>
    <row r="778">
      <c r="G778" s="34"/>
    </row>
    <row r="779">
      <c r="G779" s="34"/>
    </row>
    <row r="780">
      <c r="G780" s="34"/>
    </row>
    <row r="781">
      <c r="G781" s="34"/>
    </row>
    <row r="782">
      <c r="G782" s="34"/>
    </row>
    <row r="783">
      <c r="G783" s="34"/>
    </row>
    <row r="784">
      <c r="G784" s="34"/>
    </row>
    <row r="785">
      <c r="G785" s="34"/>
    </row>
    <row r="786">
      <c r="G786" s="34"/>
    </row>
    <row r="787">
      <c r="G787" s="34"/>
    </row>
    <row r="788">
      <c r="G788" s="34"/>
    </row>
    <row r="789">
      <c r="G789" s="34"/>
    </row>
    <row r="790">
      <c r="G790" s="34"/>
    </row>
    <row r="791">
      <c r="G791" s="34"/>
    </row>
    <row r="792">
      <c r="G792" s="34"/>
    </row>
    <row r="793">
      <c r="G793" s="34"/>
    </row>
    <row r="794">
      <c r="G794" s="34"/>
    </row>
    <row r="795">
      <c r="G795" s="34"/>
    </row>
    <row r="796">
      <c r="G796" s="34"/>
    </row>
    <row r="797">
      <c r="G797" s="34"/>
    </row>
    <row r="798">
      <c r="G798" s="34"/>
    </row>
    <row r="799">
      <c r="G799" s="34"/>
    </row>
    <row r="800">
      <c r="G800" s="34"/>
    </row>
    <row r="801">
      <c r="G801" s="34"/>
    </row>
    <row r="802">
      <c r="G802" s="34"/>
    </row>
    <row r="803">
      <c r="G803" s="34"/>
    </row>
    <row r="804">
      <c r="G804" s="34"/>
    </row>
    <row r="805">
      <c r="G805" s="34"/>
    </row>
    <row r="806">
      <c r="G806" s="34"/>
    </row>
    <row r="807">
      <c r="G807" s="34"/>
    </row>
    <row r="808">
      <c r="G808" s="34"/>
    </row>
    <row r="809">
      <c r="G809" s="34"/>
    </row>
    <row r="810">
      <c r="G810" s="34"/>
    </row>
    <row r="811">
      <c r="G811" s="34"/>
    </row>
    <row r="812">
      <c r="G812" s="34"/>
    </row>
    <row r="813">
      <c r="G813" s="34"/>
    </row>
    <row r="814">
      <c r="G814" s="34"/>
    </row>
    <row r="815">
      <c r="G815" s="34"/>
    </row>
    <row r="816">
      <c r="G816" s="34"/>
    </row>
    <row r="817">
      <c r="G817" s="34"/>
    </row>
    <row r="818">
      <c r="G818" s="34"/>
    </row>
    <row r="819">
      <c r="G819" s="34"/>
    </row>
    <row r="820">
      <c r="G820" s="34"/>
    </row>
    <row r="821">
      <c r="G821" s="34"/>
    </row>
    <row r="822">
      <c r="G822" s="34"/>
    </row>
    <row r="823">
      <c r="G823" s="34"/>
    </row>
    <row r="824">
      <c r="G824" s="34"/>
    </row>
    <row r="825">
      <c r="G825" s="34"/>
    </row>
    <row r="826">
      <c r="G826" s="34"/>
    </row>
    <row r="827">
      <c r="G827" s="34"/>
    </row>
    <row r="828">
      <c r="G828" s="34"/>
    </row>
    <row r="829">
      <c r="G829" s="34"/>
    </row>
    <row r="830">
      <c r="G830" s="34"/>
    </row>
    <row r="831">
      <c r="G831" s="34"/>
    </row>
    <row r="832">
      <c r="G832" s="34"/>
    </row>
    <row r="833">
      <c r="G833" s="34"/>
    </row>
    <row r="834">
      <c r="G834" s="34"/>
    </row>
    <row r="835">
      <c r="G835" s="34"/>
    </row>
    <row r="836">
      <c r="G836" s="34"/>
    </row>
    <row r="837">
      <c r="G837" s="34"/>
    </row>
    <row r="838">
      <c r="G838" s="34"/>
    </row>
    <row r="839">
      <c r="G839" s="34"/>
    </row>
    <row r="840">
      <c r="G840" s="34"/>
    </row>
    <row r="841">
      <c r="G841" s="34"/>
    </row>
    <row r="842">
      <c r="G842" s="34"/>
    </row>
    <row r="843">
      <c r="G843" s="34"/>
    </row>
    <row r="844">
      <c r="G844" s="34"/>
    </row>
    <row r="845">
      <c r="G845" s="34"/>
    </row>
    <row r="846">
      <c r="G846" s="34"/>
    </row>
    <row r="847">
      <c r="G847" s="34"/>
    </row>
    <row r="848">
      <c r="G848" s="34"/>
    </row>
    <row r="849">
      <c r="G849" s="34"/>
    </row>
    <row r="850">
      <c r="G850" s="34"/>
    </row>
    <row r="851">
      <c r="G851" s="34"/>
    </row>
    <row r="852">
      <c r="G852" s="34"/>
    </row>
    <row r="853">
      <c r="G853" s="34"/>
    </row>
    <row r="854">
      <c r="G854" s="34"/>
    </row>
    <row r="855">
      <c r="G855" s="34"/>
    </row>
    <row r="856">
      <c r="G856" s="34"/>
    </row>
    <row r="857">
      <c r="G857" s="34"/>
    </row>
    <row r="858">
      <c r="G858" s="34"/>
    </row>
    <row r="859">
      <c r="G859" s="34"/>
    </row>
    <row r="860">
      <c r="G860" s="34"/>
    </row>
    <row r="861">
      <c r="G861" s="34"/>
    </row>
    <row r="862">
      <c r="G862" s="34"/>
    </row>
    <row r="863">
      <c r="G863" s="34"/>
    </row>
    <row r="864">
      <c r="G864" s="34"/>
    </row>
    <row r="865">
      <c r="G865" s="34"/>
    </row>
    <row r="866">
      <c r="G866" s="34"/>
    </row>
    <row r="867">
      <c r="G867" s="34"/>
    </row>
    <row r="868">
      <c r="G868" s="34"/>
    </row>
    <row r="869">
      <c r="G869" s="34"/>
    </row>
    <row r="870">
      <c r="G870" s="34"/>
    </row>
    <row r="871">
      <c r="G871" s="34"/>
    </row>
    <row r="872">
      <c r="G872" s="34"/>
    </row>
    <row r="873">
      <c r="G873" s="34"/>
    </row>
    <row r="874">
      <c r="G874" s="34"/>
    </row>
    <row r="875">
      <c r="G875" s="34"/>
    </row>
    <row r="876">
      <c r="G876" s="34"/>
    </row>
    <row r="877">
      <c r="G877" s="34"/>
    </row>
    <row r="878">
      <c r="G878" s="34"/>
    </row>
    <row r="879">
      <c r="G879" s="34"/>
    </row>
    <row r="880">
      <c r="G880" s="34"/>
    </row>
    <row r="881">
      <c r="G881" s="34"/>
    </row>
    <row r="882">
      <c r="G882" s="34"/>
    </row>
    <row r="883">
      <c r="G883" s="34"/>
    </row>
    <row r="884">
      <c r="G884" s="34"/>
    </row>
    <row r="885">
      <c r="G885" s="34"/>
    </row>
    <row r="886">
      <c r="G886" s="34"/>
    </row>
    <row r="887">
      <c r="G887" s="34"/>
    </row>
    <row r="888">
      <c r="G888" s="34"/>
    </row>
    <row r="889">
      <c r="G889" s="34"/>
    </row>
    <row r="890">
      <c r="G890" s="34"/>
    </row>
    <row r="891">
      <c r="G891" s="34"/>
    </row>
    <row r="892">
      <c r="G892" s="34"/>
    </row>
    <row r="893">
      <c r="G893" s="34"/>
    </row>
    <row r="894">
      <c r="G894" s="34"/>
    </row>
    <row r="895">
      <c r="G895" s="34"/>
    </row>
    <row r="896">
      <c r="G896" s="34"/>
    </row>
    <row r="897">
      <c r="G897" s="34"/>
    </row>
    <row r="898">
      <c r="G898" s="34"/>
    </row>
    <row r="899">
      <c r="G899" s="34"/>
    </row>
    <row r="900">
      <c r="G900" s="34"/>
    </row>
    <row r="901">
      <c r="G901" s="34"/>
    </row>
    <row r="902">
      <c r="G902" s="34"/>
    </row>
    <row r="903">
      <c r="G903" s="34"/>
    </row>
    <row r="904">
      <c r="G904" s="34"/>
    </row>
    <row r="905">
      <c r="G905" s="34"/>
    </row>
    <row r="906">
      <c r="G906" s="34"/>
    </row>
    <row r="907">
      <c r="G907" s="34"/>
    </row>
    <row r="908">
      <c r="G908" s="34"/>
    </row>
    <row r="909">
      <c r="G909" s="34"/>
    </row>
    <row r="910">
      <c r="G910" s="34"/>
    </row>
    <row r="911">
      <c r="G911" s="34"/>
    </row>
    <row r="912">
      <c r="G912" s="34"/>
    </row>
    <row r="913">
      <c r="G913" s="34"/>
    </row>
    <row r="914">
      <c r="G914" s="34"/>
    </row>
    <row r="915">
      <c r="G915" s="34"/>
    </row>
    <row r="916">
      <c r="G916" s="34"/>
    </row>
    <row r="917">
      <c r="G917" s="34"/>
    </row>
    <row r="918">
      <c r="G918" s="34"/>
    </row>
    <row r="919">
      <c r="G919" s="34"/>
    </row>
    <row r="920">
      <c r="G920" s="34"/>
    </row>
    <row r="921">
      <c r="G921" s="34"/>
    </row>
    <row r="922">
      <c r="G922" s="34"/>
    </row>
    <row r="923">
      <c r="G923" s="34"/>
    </row>
    <row r="924">
      <c r="G924" s="34"/>
    </row>
    <row r="925">
      <c r="G925" s="34"/>
    </row>
    <row r="926">
      <c r="G926" s="34"/>
    </row>
    <row r="927">
      <c r="G927" s="34"/>
    </row>
    <row r="928">
      <c r="G928" s="34"/>
    </row>
    <row r="929">
      <c r="G929" s="34"/>
    </row>
    <row r="930">
      <c r="G930" s="34"/>
    </row>
    <row r="931">
      <c r="G931" s="34"/>
    </row>
    <row r="932">
      <c r="G932" s="34"/>
    </row>
    <row r="933">
      <c r="G933" s="34"/>
    </row>
    <row r="934">
      <c r="G934" s="34"/>
    </row>
    <row r="935">
      <c r="G935" s="34"/>
    </row>
    <row r="936">
      <c r="G936" s="34"/>
    </row>
    <row r="937">
      <c r="G937" s="34"/>
    </row>
    <row r="938">
      <c r="G938" s="34"/>
    </row>
    <row r="939">
      <c r="G939" s="34"/>
    </row>
    <row r="940">
      <c r="G940" s="34"/>
    </row>
    <row r="941">
      <c r="G941" s="34"/>
    </row>
    <row r="942">
      <c r="G942" s="34"/>
    </row>
    <row r="943">
      <c r="G943" s="34"/>
    </row>
    <row r="944">
      <c r="G944" s="34"/>
    </row>
    <row r="945">
      <c r="G945" s="34"/>
    </row>
    <row r="946">
      <c r="G946" s="34"/>
    </row>
    <row r="947">
      <c r="G947" s="34"/>
    </row>
    <row r="948">
      <c r="G948" s="34"/>
    </row>
    <row r="949">
      <c r="G949" s="34"/>
    </row>
    <row r="950">
      <c r="G950" s="34"/>
    </row>
    <row r="951">
      <c r="G951" s="34"/>
    </row>
    <row r="952">
      <c r="G952" s="34"/>
    </row>
    <row r="953">
      <c r="G953" s="34"/>
    </row>
    <row r="954">
      <c r="G954" s="34"/>
    </row>
    <row r="955">
      <c r="G955" s="34"/>
    </row>
    <row r="956">
      <c r="G956" s="34"/>
    </row>
    <row r="957">
      <c r="G957" s="34"/>
    </row>
    <row r="958">
      <c r="G958" s="34"/>
    </row>
    <row r="959">
      <c r="G959" s="34"/>
    </row>
    <row r="960">
      <c r="G960" s="34"/>
    </row>
    <row r="961">
      <c r="G961" s="34"/>
    </row>
    <row r="962">
      <c r="G962" s="34"/>
    </row>
    <row r="963">
      <c r="G963" s="34"/>
    </row>
    <row r="964">
      <c r="G964" s="34"/>
    </row>
    <row r="965">
      <c r="G965" s="34"/>
    </row>
    <row r="966">
      <c r="G966" s="34"/>
    </row>
    <row r="967">
      <c r="G967" s="34"/>
    </row>
    <row r="968">
      <c r="G968" s="34"/>
    </row>
    <row r="969">
      <c r="G969" s="34"/>
    </row>
    <row r="970">
      <c r="G970" s="34"/>
    </row>
    <row r="971">
      <c r="G971" s="34"/>
    </row>
    <row r="972">
      <c r="G972" s="34"/>
    </row>
    <row r="973">
      <c r="G973" s="34"/>
    </row>
    <row r="974">
      <c r="G974" s="34"/>
    </row>
    <row r="975">
      <c r="G975" s="34"/>
    </row>
    <row r="976">
      <c r="G976" s="34"/>
    </row>
    <row r="977">
      <c r="G977" s="34"/>
    </row>
    <row r="978">
      <c r="G978" s="34"/>
    </row>
    <row r="979">
      <c r="G979" s="34"/>
    </row>
    <row r="980">
      <c r="G980" s="34"/>
    </row>
    <row r="981">
      <c r="G981" s="34"/>
    </row>
    <row r="982">
      <c r="G982" s="34"/>
    </row>
    <row r="983">
      <c r="G983" s="34"/>
    </row>
    <row r="984">
      <c r="G984" s="34"/>
    </row>
    <row r="985">
      <c r="G985" s="34"/>
    </row>
    <row r="986">
      <c r="G986" s="34"/>
    </row>
    <row r="987">
      <c r="G987" s="34"/>
    </row>
    <row r="988">
      <c r="G988" s="34"/>
    </row>
    <row r="989">
      <c r="G989" s="34"/>
    </row>
    <row r="990">
      <c r="G990" s="34"/>
    </row>
    <row r="991">
      <c r="G991" s="34"/>
    </row>
    <row r="992">
      <c r="G992" s="34"/>
    </row>
    <row r="993">
      <c r="G993" s="34"/>
    </row>
    <row r="994">
      <c r="G994" s="34"/>
    </row>
    <row r="995">
      <c r="G995" s="34"/>
    </row>
    <row r="996">
      <c r="G996" s="34"/>
    </row>
    <row r="997">
      <c r="G997" s="34"/>
    </row>
    <row r="998">
      <c r="G998" s="34"/>
    </row>
    <row r="999">
      <c r="G999" s="34"/>
    </row>
    <row r="1000">
      <c r="G1000" s="34"/>
    </row>
  </sheetData>
  <mergeCells count="11">
    <mergeCell ref="G2:G3"/>
    <mergeCell ref="H2:H3"/>
    <mergeCell ref="I2:I3"/>
    <mergeCell ref="J2:J3"/>
    <mergeCell ref="A1:A3"/>
    <mergeCell ref="B1:B3"/>
    <mergeCell ref="C1:C3"/>
    <mergeCell ref="D1:D3"/>
    <mergeCell ref="F1:J1"/>
    <mergeCell ref="E2:E3"/>
    <mergeCell ref="F2:F3"/>
  </mergeCells>
  <hyperlinks>
    <hyperlink r:id="rId1" ref="F1"/>
  </hyperlinks>
  <drawing r:id="rId2"/>
</worksheet>
</file>