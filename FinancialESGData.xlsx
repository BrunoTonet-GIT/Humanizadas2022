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Data" sheetId="1" r:id="rId4"/>
    <sheet state="visible" name="Data Converted to EUR" sheetId="2" r:id="rId5"/>
    <sheet state="visible" name="Página2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3">
      <text>
        <t xml:space="preserve">A Royal Dutch Shell mudou de nome para Shell
	-Murilo Guellis</t>
      </text>
    </comment>
  </commentList>
</comments>
</file>

<file path=xl/sharedStrings.xml><?xml version="1.0" encoding="utf-8"?>
<sst xmlns="http://schemas.openxmlformats.org/spreadsheetml/2006/main" count="3407" uniqueCount="331">
  <si>
    <t>Empresa</t>
  </si>
  <si>
    <t>BLOOOMBERG TICKER</t>
  </si>
  <si>
    <t>ISiN Code</t>
  </si>
  <si>
    <t>Indicadores</t>
  </si>
  <si>
    <t>Moeda</t>
  </si>
  <si>
    <t>Preço Ação Primeira Abertura</t>
  </si>
  <si>
    <t>Preço Ação Último Fechamento</t>
  </si>
  <si>
    <t>Market Cap em bi</t>
  </si>
  <si>
    <t>Volume Médio em mi</t>
  </si>
  <si>
    <t>Índice P/L</t>
  </si>
  <si>
    <t>Rend. Dividendos</t>
  </si>
  <si>
    <t>ROI 5YA</t>
  </si>
  <si>
    <t>ROA 5YA</t>
  </si>
  <si>
    <t>ROE 5YA</t>
  </si>
  <si>
    <t>Lucro por Ação</t>
  </si>
  <si>
    <t>Receita Total em bi</t>
  </si>
  <si>
    <t>EBITDA em bi</t>
  </si>
  <si>
    <t>Pontuação CDP</t>
  </si>
  <si>
    <t>ESG Ratings</t>
  </si>
  <si>
    <t>Controversy Level</t>
  </si>
  <si>
    <t>Climate Change 2020</t>
  </si>
  <si>
    <t>Climate Change 2021</t>
  </si>
  <si>
    <t>Forests 2020</t>
  </si>
  <si>
    <t>Forests 2021</t>
  </si>
  <si>
    <t>Water Security 2020</t>
  </si>
  <si>
    <t>Water Security 2021</t>
  </si>
  <si>
    <t>Total ESG Risk Score</t>
  </si>
  <si>
    <t>Environment Risk Score</t>
  </si>
  <si>
    <t>Social Risk Score</t>
  </si>
  <si>
    <t>Governance Risk Score</t>
  </si>
  <si>
    <t>BMW AG</t>
  </si>
  <si>
    <t>BMW GY Equity</t>
  </si>
  <si>
    <t>DE0005190003</t>
  </si>
  <si>
    <t>Euro</t>
  </si>
  <si>
    <t>A</t>
  </si>
  <si>
    <t>A-</t>
  </si>
  <si>
    <t>Declined to participate</t>
  </si>
  <si>
    <t>WALT DISNEY CO</t>
  </si>
  <si>
    <t>DIS US Equity</t>
  </si>
  <si>
    <t>US2546871060</t>
  </si>
  <si>
    <t>Dolar</t>
  </si>
  <si>
    <t>-</t>
  </si>
  <si>
    <t>B-</t>
  </si>
  <si>
    <t>B</t>
  </si>
  <si>
    <t>Not Scored</t>
  </si>
  <si>
    <t>ACCENTURE PLC-A</t>
  </si>
  <si>
    <t>ACN US Equity</t>
  </si>
  <si>
    <t>IE00B4BNMY34</t>
  </si>
  <si>
    <t>MCDONALDS CORP</t>
  </si>
  <si>
    <t>MCD US Equity</t>
  </si>
  <si>
    <t>US5801351017</t>
  </si>
  <si>
    <t>-%</t>
  </si>
  <si>
    <t>C</t>
  </si>
  <si>
    <t>D/C</t>
  </si>
  <si>
    <t>B-/B</t>
  </si>
  <si>
    <t>D</t>
  </si>
  <si>
    <t>HYUNDAI MOTO-GDR</t>
  </si>
  <si>
    <t>HYUD LI Equity</t>
  </si>
  <si>
    <t>USY384721251</t>
  </si>
  <si>
    <t>No Response</t>
  </si>
  <si>
    <t>CATERPILLAR INC</t>
  </si>
  <si>
    <t>CAT US Equity</t>
  </si>
  <si>
    <t>US1491231015</t>
  </si>
  <si>
    <t>ALIBABA GRP-ADR</t>
  </si>
  <si>
    <t>BABA US Equity</t>
  </si>
  <si>
    <t>US01609W1027</t>
  </si>
  <si>
    <t>STARBUCKS CORP</t>
  </si>
  <si>
    <t>SBUX US Equity</t>
  </si>
  <si>
    <t>US8552441094</t>
  </si>
  <si>
    <t>D/B-</t>
  </si>
  <si>
    <t>VIDRALA</t>
  </si>
  <si>
    <t>VID SM Equity</t>
  </si>
  <si>
    <t>ES0183746314</t>
  </si>
  <si>
    <t>ROYAL DUTCH SH-A</t>
  </si>
  <si>
    <t>RDSA NA Equity</t>
  </si>
  <si>
    <t>GB00B03MLX29</t>
  </si>
  <si>
    <t>HOLCIM LTD</t>
  </si>
  <si>
    <t>HOLN SW Equity</t>
  </si>
  <si>
    <t>CH0012214059</t>
  </si>
  <si>
    <t>Franco Suíço</t>
  </si>
  <si>
    <t>MICHELIN</t>
  </si>
  <si>
    <t>ML FP Equity</t>
  </si>
  <si>
    <t>FR0000121261</t>
  </si>
  <si>
    <t>No Responde</t>
  </si>
  <si>
    <t>RYANAIR HLDGS</t>
  </si>
  <si>
    <t>RYA ID Equity</t>
  </si>
  <si>
    <t>IE00BYTBXV33</t>
  </si>
  <si>
    <t>TRIGANO SA</t>
  </si>
  <si>
    <t>TRI FP Equity</t>
  </si>
  <si>
    <t>FR0005691656</t>
  </si>
  <si>
    <t>BENETEAU</t>
  </si>
  <si>
    <t>BEN FP Equity</t>
  </si>
  <si>
    <t>FR0000035164</t>
  </si>
  <si>
    <t>SAINT GOBAIN</t>
  </si>
  <si>
    <t>SGO FP Equity</t>
  </si>
  <si>
    <t>FR0000125007</t>
  </si>
  <si>
    <t>BEKAERT NV</t>
  </si>
  <si>
    <t>BEKB BB Equity</t>
  </si>
  <si>
    <t>BE0974258874</t>
  </si>
  <si>
    <t>STABILUS SA</t>
  </si>
  <si>
    <t>STM GY Equity</t>
  </si>
  <si>
    <t>LU1066226637</t>
  </si>
  <si>
    <t>DECEUNINCK NV</t>
  </si>
  <si>
    <t>DECB BB Equity</t>
  </si>
  <si>
    <t>BE0003789063</t>
  </si>
  <si>
    <t>MUENCHENER RUE-R</t>
  </si>
  <si>
    <t>MUV2 GY Equity</t>
  </si>
  <si>
    <t>DE0008430026</t>
  </si>
  <si>
    <t>AENA SME SA</t>
  </si>
  <si>
    <t>AENA SM Equity</t>
  </si>
  <si>
    <t>ES0105046009</t>
  </si>
  <si>
    <t>CORTICEIRA AMORI</t>
  </si>
  <si>
    <t>COR PL Equity</t>
  </si>
  <si>
    <t>PTCOR0AE0006</t>
  </si>
  <si>
    <t>Not Available</t>
  </si>
  <si>
    <t>SANOFI</t>
  </si>
  <si>
    <t>SAN FP Equity</t>
  </si>
  <si>
    <t>FR0000120578</t>
  </si>
  <si>
    <t>KONINKLIJKE PHIL</t>
  </si>
  <si>
    <t>PHIA NA Equity</t>
  </si>
  <si>
    <t>NL0000009538</t>
  </si>
  <si>
    <t>ABRDN PLC</t>
  </si>
  <si>
    <t>ABDN LN Equity</t>
  </si>
  <si>
    <t>GB00BF8Q6K64</t>
  </si>
  <si>
    <t>Libra Esterlina</t>
  </si>
  <si>
    <t>ROCHE HLDG-GENUS</t>
  </si>
  <si>
    <t>ROG SW Equity</t>
  </si>
  <si>
    <t>CH0012032048</t>
  </si>
  <si>
    <t>ACERINOX</t>
  </si>
  <si>
    <t>ACX SM Equity</t>
  </si>
  <si>
    <t>ES0132105018</t>
  </si>
  <si>
    <t>VOPAK</t>
  </si>
  <si>
    <t>VPK NA Equity</t>
  </si>
  <si>
    <t>NL0009432491</t>
  </si>
  <si>
    <t>CBRE GROUP INC-A</t>
  </si>
  <si>
    <t>CBRE US Equity</t>
  </si>
  <si>
    <t>US12504L1098</t>
  </si>
  <si>
    <t>MEDTRONIC PLC</t>
  </si>
  <si>
    <t>MDT US Equity</t>
  </si>
  <si>
    <t>IE00BTN1Y115</t>
  </si>
  <si>
    <t>ANHEUSER-BUSCH I</t>
  </si>
  <si>
    <t>ABI BB Equity</t>
  </si>
  <si>
    <t>BE0974293251</t>
  </si>
  <si>
    <t>FANUC CORP</t>
  </si>
  <si>
    <t>6954 JP Equity</t>
  </si>
  <si>
    <t>JP3802400006</t>
  </si>
  <si>
    <t>Iene</t>
  </si>
  <si>
    <t>EURONAV NV</t>
  </si>
  <si>
    <t>EURN BB Equity</t>
  </si>
  <si>
    <t>BE0003816338</t>
  </si>
  <si>
    <t>ORANGE</t>
  </si>
  <si>
    <t>ORA FP Equity</t>
  </si>
  <si>
    <t>FR0000133308</t>
  </si>
  <si>
    <t>LAM RESEARCH</t>
  </si>
  <si>
    <t>LRCX US Equity</t>
  </si>
  <si>
    <t>US5128071082</t>
  </si>
  <si>
    <t>GENERALI ASSIC</t>
  </si>
  <si>
    <t>G IM Equity</t>
  </si>
  <si>
    <t>IT0000062072</t>
  </si>
  <si>
    <t>DEUTSCHE BOERSE</t>
  </si>
  <si>
    <t>DB1 GY Equity</t>
  </si>
  <si>
    <t>DE0005810055</t>
  </si>
  <si>
    <t>WABTEC CORP</t>
  </si>
  <si>
    <t>WAB US Equity</t>
  </si>
  <si>
    <t>US9297401088</t>
  </si>
  <si>
    <t>KOMATSU LTD</t>
  </si>
  <si>
    <t>6301 JP Equity</t>
  </si>
  <si>
    <t>JP3304200003</t>
  </si>
  <si>
    <t>SAF-HOLLAND SE</t>
  </si>
  <si>
    <t>SFQ GY Equity</t>
  </si>
  <si>
    <t>DE000SAFH001</t>
  </si>
  <si>
    <t>ASTRAZENECA PLC</t>
  </si>
  <si>
    <t>AZN LN Equity</t>
  </si>
  <si>
    <t>GB0009895292</t>
  </si>
  <si>
    <t>ABBOTT LABS</t>
  </si>
  <si>
    <t>ABT US Equity</t>
  </si>
  <si>
    <t>US0028241000</t>
  </si>
  <si>
    <t>DEUTSCHE POST-RG</t>
  </si>
  <si>
    <t>DPW GY Equity</t>
  </si>
  <si>
    <t>DE0005552004</t>
  </si>
  <si>
    <t>BOSKALIS WESTMIN</t>
  </si>
  <si>
    <t>BOKA NA Equity</t>
  </si>
  <si>
    <t>NL0000852580</t>
  </si>
  <si>
    <t>AXA</t>
  </si>
  <si>
    <t>CS FP Equity</t>
  </si>
  <si>
    <t>FR0000120628</t>
  </si>
  <si>
    <t>VISA INC-CLASS A</t>
  </si>
  <si>
    <t>V US Equity</t>
  </si>
  <si>
    <t>US92826C8394</t>
  </si>
  <si>
    <t>PEARSON PLC</t>
  </si>
  <si>
    <t>PSON LN Equity</t>
  </si>
  <si>
    <t>GB0006776081</t>
  </si>
  <si>
    <t>BBVA</t>
  </si>
  <si>
    <t>BBVA SM Equity</t>
  </si>
  <si>
    <t>ES0113211835</t>
  </si>
  <si>
    <t>AVIVA PLC</t>
  </si>
  <si>
    <t>AV/ LN Equity</t>
  </si>
  <si>
    <t>GB0002162385</t>
  </si>
  <si>
    <t>DUERR AG</t>
  </si>
  <si>
    <t>DUE GY Equity</t>
  </si>
  <si>
    <t>DE0005565204</t>
  </si>
  <si>
    <t>TRIPADVISOR INC</t>
  </si>
  <si>
    <t>TRIP US Equity</t>
  </si>
  <si>
    <t>US8969452015</t>
  </si>
  <si>
    <t>KENDRION NV</t>
  </si>
  <si>
    <t>KENDR NA Equity</t>
  </si>
  <si>
    <t>NL0000852531</t>
  </si>
  <si>
    <t>BNP PARIBAS</t>
  </si>
  <si>
    <t>BNP FP Equity</t>
  </si>
  <si>
    <t>FR0000131104</t>
  </si>
  <si>
    <t>SIXT SE-PRFD</t>
  </si>
  <si>
    <t>SIX3 GY Equity</t>
  </si>
  <si>
    <t>DE0007231334</t>
  </si>
  <si>
    <t>NATURGY ENERGY</t>
  </si>
  <si>
    <t>NTGY SM Equity</t>
  </si>
  <si>
    <t>ES0116870314</t>
  </si>
  <si>
    <t>CENTRAL JAPAN RL</t>
  </si>
  <si>
    <t>9022 JP Equity</t>
  </si>
  <si>
    <t>JP3566800003</t>
  </si>
  <si>
    <t>VODAFONE GROUP</t>
  </si>
  <si>
    <t>VOD LN Equity</t>
  </si>
  <si>
    <t>GB00BH4HKS39</t>
  </si>
  <si>
    <t>DALATA HOTEL GRO</t>
  </si>
  <si>
    <t>DHG ID Equity</t>
  </si>
  <si>
    <t>IE00BJMZDW83</t>
  </si>
  <si>
    <t>MAPFRE SA</t>
  </si>
  <si>
    <t>MAP SM Equity</t>
  </si>
  <si>
    <t>ES0124244E34</t>
  </si>
  <si>
    <t>PROSIEBENSAT.1 M</t>
  </si>
  <si>
    <t>PSM GY Equity</t>
  </si>
  <si>
    <t>DE000PSM7770</t>
  </si>
  <si>
    <t>SOLUTIONS 30 SE</t>
  </si>
  <si>
    <t>S30 FP Equity</t>
  </si>
  <si>
    <t>FR0013379484</t>
  </si>
  <si>
    <t>BOOKING HOLDINGS</t>
  </si>
  <si>
    <t>BKNG US Equity</t>
  </si>
  <si>
    <t>US09857L1089</t>
  </si>
  <si>
    <t>F-SECURE OYJ</t>
  </si>
  <si>
    <t>FSC1V FH Equity</t>
  </si>
  <si>
    <t>FI0009801310</t>
  </si>
  <si>
    <t>CREDIT AGRICOLE</t>
  </si>
  <si>
    <t>ACA FP Equity</t>
  </si>
  <si>
    <t>FR0000045072</t>
  </si>
  <si>
    <t>BUREAU VERITAS S</t>
  </si>
  <si>
    <t>BVI FP Equity</t>
  </si>
  <si>
    <t>FR0006174348</t>
  </si>
  <si>
    <t>SHANGRI-LA ASIA</t>
  </si>
  <si>
    <t>69 HK Equity</t>
  </si>
  <si>
    <t>BMG8063F1068</t>
  </si>
  <si>
    <t>HKD</t>
  </si>
  <si>
    <t>ARCELORMITTAL</t>
  </si>
  <si>
    <t>MT NA Equity</t>
  </si>
  <si>
    <t>LU1598757687</t>
  </si>
  <si>
    <t>HILTON WORLDWIDE</t>
  </si>
  <si>
    <t>HLT US Equity</t>
  </si>
  <si>
    <t>US43300A2033</t>
  </si>
  <si>
    <t>D-</t>
  </si>
  <si>
    <t>WYNN MACAU LTD</t>
  </si>
  <si>
    <t>1128 HK Equity</t>
  </si>
  <si>
    <t>KYG981491007</t>
  </si>
  <si>
    <t>TELEFONICA</t>
  </si>
  <si>
    <t>TEF SM Equity</t>
  </si>
  <si>
    <t>ES0178430E18</t>
  </si>
  <si>
    <t>FUGRO NV</t>
  </si>
  <si>
    <t>FUR NA Equity</t>
  </si>
  <si>
    <t>NL00150003E1</t>
  </si>
  <si>
    <t xml:space="preserve">B- </t>
  </si>
  <si>
    <t>OCI NV</t>
  </si>
  <si>
    <t>OCI NA Equity</t>
  </si>
  <si>
    <t>NL0010558797</t>
  </si>
  <si>
    <t>WEST JAPAN RAILW</t>
  </si>
  <si>
    <t>9021 JP Equity</t>
  </si>
  <si>
    <t>JP3659000008</t>
  </si>
  <si>
    <t>LINDBLAD EXPEDIT</t>
  </si>
  <si>
    <t>LIND US Equity</t>
  </si>
  <si>
    <t>US5352191093</t>
  </si>
  <si>
    <t>M&amp;G PLC</t>
  </si>
  <si>
    <t>MNG LN Equity</t>
  </si>
  <si>
    <t>GB00BKFB1C65</t>
  </si>
  <si>
    <t>IVS GROUP</t>
  </si>
  <si>
    <t>IVS IM Equity</t>
  </si>
  <si>
    <t>LU0556041001</t>
  </si>
  <si>
    <t>KOENIG &amp; BAUER</t>
  </si>
  <si>
    <t>SKB GY Equity</t>
  </si>
  <si>
    <t>DE0007193500</t>
  </si>
  <si>
    <t>WIZZ AIR HOLDING</t>
  </si>
  <si>
    <t>WIZZ LN Equity</t>
  </si>
  <si>
    <t>JE00BN574F90</t>
  </si>
  <si>
    <t>ATLANTIA SPA</t>
  </si>
  <si>
    <t>ATL IM Equity</t>
  </si>
  <si>
    <t>IT0003506190</t>
  </si>
  <si>
    <t>AEGON NV</t>
  </si>
  <si>
    <t>AGN NA Equity</t>
  </si>
  <si>
    <t>NL0000303709</t>
  </si>
  <si>
    <t>ACCOR SA</t>
  </si>
  <si>
    <t>AC FP Equity</t>
  </si>
  <si>
    <t>FR0000120404</t>
  </si>
  <si>
    <t>CARNIVAL CORP</t>
  </si>
  <si>
    <t>CCL US Equity</t>
  </si>
  <si>
    <t>PA1436583006</t>
  </si>
  <si>
    <t>LAS VEGAS SANDS</t>
  </si>
  <si>
    <t>LVS US Equity</t>
  </si>
  <si>
    <t>US5178341070</t>
  </si>
  <si>
    <t>JCDECAUX SA</t>
  </si>
  <si>
    <t>DEC FP Equity</t>
  </si>
  <si>
    <t>FR0000077919</t>
  </si>
  <si>
    <t>BAUER AG</t>
  </si>
  <si>
    <t>B5A GY Equity</t>
  </si>
  <si>
    <t>DE0005168108</t>
  </si>
  <si>
    <t>HYATT HOTELS-A</t>
  </si>
  <si>
    <t>H US Equity</t>
  </si>
  <si>
    <t>US4485791028</t>
  </si>
  <si>
    <t>Moeda Antiga</t>
  </si>
  <si>
    <t>Receita Total em bi2018</t>
  </si>
  <si>
    <t>Receita Total em bi2019</t>
  </si>
  <si>
    <t>Receita Total em bi2020</t>
  </si>
  <si>
    <t>Receita Total em bi2021</t>
  </si>
  <si>
    <t>EBITDA em bi2018</t>
  </si>
  <si>
    <t>EBITDA em bi2019</t>
  </si>
  <si>
    <t>EBITDA em bi2020</t>
  </si>
  <si>
    <t>EBITDA em bi2021</t>
  </si>
  <si>
    <t>Pontuação CDPClimate Change 2020</t>
  </si>
  <si>
    <t>Pontuação CDPClimate Change 2021</t>
  </si>
  <si>
    <t>Pontuação CDPForests 2020</t>
  </si>
  <si>
    <t>Pontuação CDPForests 2021</t>
  </si>
  <si>
    <t>Pontuação CDPWater Security 2020</t>
  </si>
  <si>
    <t>Pontuação CDPWater Security 2021</t>
  </si>
  <si>
    <t>ESG RatingsTotal ESG Risk Score</t>
  </si>
  <si>
    <t>ESG RatingsEnvironment Risk Score</t>
  </si>
  <si>
    <t>ESG RatingsSocial Risk Score</t>
  </si>
  <si>
    <t>ESG RatingsGovernance Risk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</si>
</sst>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vertical="center"/>
    </xf>
    <xf borderId="0" fillId="3" fontId="1" numFmtId="0" xfId="0" applyAlignment="1" applyFont="1">
      <alignment horizontal="center" vertical="center"/>
    </xf>
    <xf borderId="0" fillId="4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2" xfId="0" applyAlignment="1" applyFont="1" applyNumberFormat="1">
      <alignment horizontal="right" readingOrder="0" shrinkToFit="0" vertical="center" wrapText="1"/>
    </xf>
    <xf borderId="0" fillId="5" fontId="1" numFmtId="0" xfId="0" applyAlignment="1" applyFill="1" applyFont="1">
      <alignment readingOrder="0"/>
    </xf>
    <xf borderId="0" fillId="0" fontId="1" numFmtId="10" xfId="0" applyFont="1" applyNumberFormat="1"/>
    <xf borderId="0" fillId="6" fontId="1" numFmtId="0" xfId="0" applyAlignment="1" applyFill="1" applyFont="1">
      <alignment horizontal="center" readingOrder="0" shrinkToFit="0" vertical="center" wrapText="1"/>
    </xf>
    <xf borderId="0" fillId="6" fontId="1" numFmtId="0" xfId="0" applyAlignment="1" applyFont="1">
      <alignment horizontal="center" readingOrder="0" vertical="center"/>
    </xf>
    <xf borderId="0" fillId="6" fontId="1" numFmtId="0" xfId="0" applyAlignment="1" applyFont="1">
      <alignment horizontal="center" vertical="center"/>
    </xf>
    <xf borderId="0" fillId="7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8.63"/>
    <col customWidth="1" min="2" max="2" width="17.25"/>
    <col customWidth="1" min="3" max="3" width="13.75"/>
    <col customWidth="1" min="6" max="6" width="14.88"/>
    <col customWidth="1" min="7" max="7" width="15.5"/>
    <col customWidth="1" min="10" max="10" width="14.13"/>
    <col customWidth="1" min="11" max="22" width="12.63"/>
    <col customWidth="1" min="23" max="23" width="17.63"/>
    <col customWidth="1" min="24" max="24" width="17.0"/>
    <col customWidth="1" min="25" max="28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/>
      <c r="B2" s="1"/>
      <c r="C2" s="1"/>
      <c r="D2" s="2" t="s">
        <v>4</v>
      </c>
      <c r="E2" s="2" t="s">
        <v>5</v>
      </c>
      <c r="F2" s="2" t="s">
        <v>6</v>
      </c>
      <c r="G2" s="3" t="s">
        <v>7</v>
      </c>
      <c r="H2" s="2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2"/>
      <c r="P2" s="2" t="s">
        <v>15</v>
      </c>
      <c r="S2" s="2" t="s">
        <v>16</v>
      </c>
      <c r="W2" s="2" t="s">
        <v>17</v>
      </c>
      <c r="AC2" s="3" t="s">
        <v>18</v>
      </c>
      <c r="AG2" s="2" t="s">
        <v>19</v>
      </c>
    </row>
    <row r="3" ht="28.5" customHeight="1">
      <c r="A3" s="1"/>
      <c r="B3" s="1"/>
      <c r="C3" s="1"/>
      <c r="O3" s="5">
        <v>2018.0</v>
      </c>
      <c r="P3" s="5">
        <v>2019.0</v>
      </c>
      <c r="Q3" s="5">
        <v>2020.0</v>
      </c>
      <c r="R3" s="5">
        <v>2021.0</v>
      </c>
      <c r="S3" s="5">
        <v>2018.0</v>
      </c>
      <c r="T3" s="5">
        <v>2019.0</v>
      </c>
      <c r="U3" s="5">
        <v>2020.0</v>
      </c>
      <c r="V3" s="5">
        <v>2021.0</v>
      </c>
      <c r="W3" s="5" t="s">
        <v>20</v>
      </c>
      <c r="X3" s="5" t="s">
        <v>21</v>
      </c>
      <c r="Y3" s="5" t="s">
        <v>22</v>
      </c>
      <c r="Z3" s="6" t="s">
        <v>23</v>
      </c>
      <c r="AA3" s="6" t="s">
        <v>24</v>
      </c>
      <c r="AB3" s="6" t="s">
        <v>25</v>
      </c>
      <c r="AC3" s="5" t="s">
        <v>26</v>
      </c>
      <c r="AD3" s="5" t="s">
        <v>27</v>
      </c>
      <c r="AE3" s="5" t="s">
        <v>28</v>
      </c>
      <c r="AF3" s="5" t="s">
        <v>29</v>
      </c>
    </row>
    <row r="4">
      <c r="A4" s="7" t="s">
        <v>30</v>
      </c>
      <c r="B4" s="7" t="s">
        <v>31</v>
      </c>
      <c r="C4" s="7" t="s">
        <v>32</v>
      </c>
      <c r="D4" s="7" t="s">
        <v>33</v>
      </c>
      <c r="E4" s="8">
        <v>14.1</v>
      </c>
      <c r="F4" s="8">
        <v>76.67</v>
      </c>
      <c r="G4" s="7">
        <v>49.57</v>
      </c>
      <c r="H4" s="7">
        <v>2.44</v>
      </c>
      <c r="I4" s="7">
        <v>4.22</v>
      </c>
      <c r="J4" s="9">
        <v>0.0766</v>
      </c>
      <c r="K4" s="9">
        <v>0.0541</v>
      </c>
      <c r="L4" s="9">
        <v>0.035</v>
      </c>
      <c r="M4" s="9">
        <v>0.1255</v>
      </c>
      <c r="N4" s="7">
        <v>18.77</v>
      </c>
      <c r="O4" s="7">
        <v>96.86</v>
      </c>
      <c r="P4" s="7">
        <v>104.21</v>
      </c>
      <c r="Q4" s="7">
        <v>98.99</v>
      </c>
      <c r="R4" s="7">
        <v>111.24</v>
      </c>
      <c r="S4" s="7">
        <v>17.4</v>
      </c>
      <c r="T4" s="7">
        <v>17.98</v>
      </c>
      <c r="U4" s="7">
        <v>11.0</v>
      </c>
      <c r="V4" s="7">
        <v>19.94</v>
      </c>
      <c r="W4" s="7" t="s">
        <v>34</v>
      </c>
      <c r="X4" s="7" t="s">
        <v>35</v>
      </c>
      <c r="Y4" s="7" t="s">
        <v>36</v>
      </c>
      <c r="Z4" s="7" t="s">
        <v>36</v>
      </c>
      <c r="AA4" s="7" t="s">
        <v>36</v>
      </c>
      <c r="AB4" s="7" t="s">
        <v>36</v>
      </c>
      <c r="AC4" s="7">
        <v>24.0</v>
      </c>
      <c r="AD4" s="7">
        <v>7.2</v>
      </c>
      <c r="AE4" s="7">
        <v>7.5</v>
      </c>
      <c r="AF4" s="7">
        <v>9.2</v>
      </c>
      <c r="AG4" s="7">
        <v>3.0</v>
      </c>
    </row>
    <row r="5">
      <c r="A5" s="7" t="s">
        <v>37</v>
      </c>
      <c r="B5" s="7" t="s">
        <v>38</v>
      </c>
      <c r="C5" s="7" t="s">
        <v>39</v>
      </c>
      <c r="D5" s="7" t="s">
        <v>40</v>
      </c>
      <c r="E5" s="8">
        <v>1.19</v>
      </c>
      <c r="F5" s="8">
        <v>138.62</v>
      </c>
      <c r="G5" s="7">
        <v>255.09</v>
      </c>
      <c r="H5" s="7">
        <v>12.41</v>
      </c>
      <c r="I5" s="7">
        <v>83.15</v>
      </c>
      <c r="J5" s="7" t="s">
        <v>41</v>
      </c>
      <c r="K5" s="9">
        <v>0.0554</v>
      </c>
      <c r="L5" s="9">
        <v>0.043</v>
      </c>
      <c r="M5" s="9">
        <v>0.0897</v>
      </c>
      <c r="N5" s="7">
        <v>1.11</v>
      </c>
      <c r="O5" s="7">
        <v>59.47</v>
      </c>
      <c r="P5" s="7">
        <v>69.42</v>
      </c>
      <c r="Q5" s="7">
        <v>65.13</v>
      </c>
      <c r="R5" s="7">
        <v>67.39</v>
      </c>
      <c r="S5" s="7">
        <v>17.93</v>
      </c>
      <c r="T5" s="7">
        <v>15.88</v>
      </c>
      <c r="U5" s="7">
        <v>8.92</v>
      </c>
      <c r="V5" s="7">
        <v>8.85</v>
      </c>
      <c r="W5" s="7" t="s">
        <v>42</v>
      </c>
      <c r="X5" s="7" t="s">
        <v>43</v>
      </c>
      <c r="Y5" s="7" t="s">
        <v>44</v>
      </c>
      <c r="Z5" s="7" t="s">
        <v>44</v>
      </c>
      <c r="AA5" s="7" t="s">
        <v>41</v>
      </c>
      <c r="AB5" s="7" t="s">
        <v>41</v>
      </c>
      <c r="AC5" s="7">
        <v>14.0</v>
      </c>
      <c r="AD5" s="7">
        <v>0.1</v>
      </c>
      <c r="AE5" s="7">
        <v>7.1</v>
      </c>
      <c r="AF5" s="7">
        <v>7.2</v>
      </c>
      <c r="AG5" s="7">
        <v>2.0</v>
      </c>
    </row>
    <row r="6">
      <c r="A6" s="7" t="s">
        <v>45</v>
      </c>
      <c r="B6" s="7" t="s">
        <v>46</v>
      </c>
      <c r="C6" s="7" t="s">
        <v>47</v>
      </c>
      <c r="D6" s="7" t="s">
        <v>40</v>
      </c>
      <c r="E6" s="10">
        <v>18.31</v>
      </c>
      <c r="F6" s="8">
        <v>324.56</v>
      </c>
      <c r="G6" s="7">
        <v>214.96</v>
      </c>
      <c r="H6" s="7">
        <v>2.86</v>
      </c>
      <c r="I6" s="7">
        <v>33.0</v>
      </c>
      <c r="J6" s="9">
        <v>0.0118</v>
      </c>
      <c r="K6" s="9">
        <v>0.2756</v>
      </c>
      <c r="L6" s="9">
        <v>0.1648</v>
      </c>
      <c r="M6" s="9">
        <v>0.3653</v>
      </c>
      <c r="N6" s="7">
        <v>9.92</v>
      </c>
      <c r="O6" s="7">
        <v>40.99</v>
      </c>
      <c r="P6" s="7">
        <v>43.22</v>
      </c>
      <c r="Q6" s="7">
        <v>44.33</v>
      </c>
      <c r="R6" s="7">
        <v>50.53</v>
      </c>
      <c r="S6" s="7">
        <v>6.92</v>
      </c>
      <c r="T6" s="7">
        <v>7.25</v>
      </c>
      <c r="U6" s="7">
        <v>8.34</v>
      </c>
      <c r="V6" s="7">
        <v>9.62</v>
      </c>
      <c r="W6" s="7" t="s">
        <v>34</v>
      </c>
      <c r="X6" s="7" t="s">
        <v>35</v>
      </c>
      <c r="Y6" s="7" t="s">
        <v>41</v>
      </c>
      <c r="Z6" s="7" t="s">
        <v>41</v>
      </c>
      <c r="AA6" s="7" t="s">
        <v>41</v>
      </c>
      <c r="AB6" s="7" t="s">
        <v>41</v>
      </c>
      <c r="AC6" s="7">
        <v>9.0</v>
      </c>
      <c r="AD6" s="7">
        <v>0.3</v>
      </c>
      <c r="AE6" s="7">
        <v>4.3</v>
      </c>
      <c r="AF6" s="7">
        <v>4.8</v>
      </c>
      <c r="AG6" s="7">
        <v>2.0</v>
      </c>
    </row>
    <row r="7">
      <c r="A7" s="7" t="s">
        <v>48</v>
      </c>
      <c r="B7" s="7" t="s">
        <v>49</v>
      </c>
      <c r="C7" s="7" t="s">
        <v>50</v>
      </c>
      <c r="D7" s="7" t="s">
        <v>40</v>
      </c>
      <c r="E7" s="10">
        <v>0.81</v>
      </c>
      <c r="F7" s="8">
        <v>235.32</v>
      </c>
      <c r="G7" s="7">
        <v>177.06</v>
      </c>
      <c r="H7" s="7">
        <v>4.02</v>
      </c>
      <c r="I7" s="7">
        <v>23.73</v>
      </c>
      <c r="J7" s="9">
        <v>0.0232</v>
      </c>
      <c r="K7" s="9">
        <v>0.1595</v>
      </c>
      <c r="L7" s="9">
        <v>0.1447</v>
      </c>
      <c r="M7" s="7" t="s">
        <v>51</v>
      </c>
      <c r="N7" s="7">
        <v>10.04</v>
      </c>
      <c r="O7" s="7">
        <v>21.03</v>
      </c>
      <c r="P7" s="7">
        <v>21.36</v>
      </c>
      <c r="Q7" s="7">
        <v>19.21</v>
      </c>
      <c r="R7" s="7">
        <v>23.22</v>
      </c>
      <c r="S7" s="7">
        <v>10.07</v>
      </c>
      <c r="T7" s="7">
        <v>10.5</v>
      </c>
      <c r="U7" s="7">
        <v>8.91</v>
      </c>
      <c r="V7" s="7">
        <v>11.64</v>
      </c>
      <c r="W7" s="7" t="s">
        <v>52</v>
      </c>
      <c r="X7" s="7" t="s">
        <v>52</v>
      </c>
      <c r="Y7" s="7" t="s">
        <v>53</v>
      </c>
      <c r="Z7" s="7" t="s">
        <v>54</v>
      </c>
      <c r="AA7" s="7" t="s">
        <v>52</v>
      </c>
      <c r="AB7" s="7" t="s">
        <v>55</v>
      </c>
      <c r="AC7" s="7">
        <v>24.0</v>
      </c>
      <c r="AD7" s="7">
        <v>4.1</v>
      </c>
      <c r="AE7" s="7">
        <v>14.4</v>
      </c>
      <c r="AF7" s="7">
        <v>5.9</v>
      </c>
      <c r="AG7" s="7">
        <v>3.0</v>
      </c>
    </row>
    <row r="8">
      <c r="A8" s="7" t="s">
        <v>56</v>
      </c>
      <c r="B8" s="7" t="s">
        <v>57</v>
      </c>
      <c r="C8" s="7" t="s">
        <v>58</v>
      </c>
      <c r="D8" s="7" t="s">
        <v>40</v>
      </c>
      <c r="E8" s="8">
        <v>3.2</v>
      </c>
      <c r="F8" s="8">
        <v>34.1</v>
      </c>
      <c r="G8" s="7">
        <v>32.31</v>
      </c>
      <c r="H8" s="7">
        <v>0.007846</v>
      </c>
      <c r="I8" s="7" t="s">
        <v>41</v>
      </c>
      <c r="J8" s="9">
        <v>0.0521</v>
      </c>
      <c r="K8" s="9">
        <v>0.025</v>
      </c>
      <c r="L8" s="9">
        <v>0.0175</v>
      </c>
      <c r="M8" s="9">
        <v>0.0428</v>
      </c>
      <c r="N8" s="7">
        <v>18991.81</v>
      </c>
      <c r="O8" s="7">
        <v>96810.0</v>
      </c>
      <c r="P8" s="7">
        <v>105750.0</v>
      </c>
      <c r="Q8" s="7">
        <v>104000.0</v>
      </c>
      <c r="R8" s="7">
        <v>117611.0</v>
      </c>
      <c r="S8" s="7">
        <v>6180.0</v>
      </c>
      <c r="T8" s="7">
        <v>7620.0</v>
      </c>
      <c r="U8" s="7">
        <v>6780.0</v>
      </c>
      <c r="V8" s="7">
        <v>11440.0</v>
      </c>
      <c r="W8" s="7" t="s">
        <v>35</v>
      </c>
      <c r="X8" s="7" t="s">
        <v>43</v>
      </c>
      <c r="Y8" s="7" t="s">
        <v>59</v>
      </c>
      <c r="Z8" s="7" t="s">
        <v>59</v>
      </c>
      <c r="AA8" s="7" t="s">
        <v>35</v>
      </c>
      <c r="AB8" s="7" t="s">
        <v>35</v>
      </c>
      <c r="AC8" s="7" t="s">
        <v>41</v>
      </c>
      <c r="AD8" s="7" t="s">
        <v>41</v>
      </c>
      <c r="AE8" s="7" t="s">
        <v>41</v>
      </c>
      <c r="AF8" s="7" t="s">
        <v>41</v>
      </c>
      <c r="AG8" s="7" t="s">
        <v>41</v>
      </c>
    </row>
    <row r="9">
      <c r="A9" s="7" t="s">
        <v>60</v>
      </c>
      <c r="B9" s="7" t="s">
        <v>61</v>
      </c>
      <c r="C9" s="7" t="s">
        <v>62</v>
      </c>
      <c r="D9" s="7" t="s">
        <v>40</v>
      </c>
      <c r="E9" s="8">
        <v>6.03</v>
      </c>
      <c r="F9" s="8">
        <v>223.67</v>
      </c>
      <c r="G9" s="7">
        <v>119.88</v>
      </c>
      <c r="H9" s="7">
        <v>4.2</v>
      </c>
      <c r="I9" s="7">
        <v>18.93</v>
      </c>
      <c r="J9" s="9">
        <v>0.0199</v>
      </c>
      <c r="K9" s="9">
        <v>0.0954</v>
      </c>
      <c r="L9" s="9">
        <v>0.0623</v>
      </c>
      <c r="M9" s="9">
        <v>0.3375</v>
      </c>
      <c r="N9" s="7">
        <v>11.86</v>
      </c>
      <c r="O9" s="7">
        <v>54.72</v>
      </c>
      <c r="P9" s="7">
        <v>53.79</v>
      </c>
      <c r="Q9" s="7">
        <v>41.75</v>
      </c>
      <c r="R9" s="7">
        <v>50.98</v>
      </c>
      <c r="S9" s="7">
        <v>11.43</v>
      </c>
      <c r="T9" s="7">
        <v>11.07</v>
      </c>
      <c r="U9" s="7">
        <v>7.41</v>
      </c>
      <c r="V9" s="7">
        <v>9.32</v>
      </c>
      <c r="W9" s="7" t="s">
        <v>59</v>
      </c>
      <c r="X9" s="7" t="s">
        <v>59</v>
      </c>
      <c r="Y9" s="7" t="s">
        <v>41</v>
      </c>
      <c r="Z9" s="7" t="s">
        <v>41</v>
      </c>
      <c r="AA9" s="7" t="s">
        <v>59</v>
      </c>
      <c r="AB9" s="7" t="s">
        <v>59</v>
      </c>
      <c r="AC9" s="7">
        <v>34.0</v>
      </c>
      <c r="AD9" s="7">
        <v>7.2</v>
      </c>
      <c r="AE9" s="7">
        <v>18.5</v>
      </c>
      <c r="AF9" s="7">
        <v>8.6</v>
      </c>
      <c r="AG9" s="7">
        <v>4.0</v>
      </c>
    </row>
    <row r="10">
      <c r="A10" s="7" t="s">
        <v>63</v>
      </c>
      <c r="B10" s="7" t="s">
        <v>64</v>
      </c>
      <c r="C10" s="7" t="s">
        <v>65</v>
      </c>
      <c r="D10" s="7" t="s">
        <v>40</v>
      </c>
      <c r="E10" s="8">
        <v>85.88</v>
      </c>
      <c r="F10" s="8">
        <v>103.53</v>
      </c>
      <c r="G10" s="7">
        <v>281.83</v>
      </c>
      <c r="H10" s="7">
        <v>35.92</v>
      </c>
      <c r="I10" s="7">
        <v>30.63</v>
      </c>
      <c r="J10" s="7" t="s">
        <v>51</v>
      </c>
      <c r="K10" s="9">
        <v>0.153</v>
      </c>
      <c r="L10" s="9">
        <v>0.1083</v>
      </c>
      <c r="M10" s="9">
        <v>0.2004</v>
      </c>
      <c r="N10" s="7">
        <v>8.75</v>
      </c>
      <c r="O10" s="7">
        <v>250.266</v>
      </c>
      <c r="P10" s="7">
        <v>376.844</v>
      </c>
      <c r="Q10" s="7">
        <v>509.711</v>
      </c>
      <c r="R10" s="7">
        <v>717.289</v>
      </c>
      <c r="S10" s="7">
        <v>108.99</v>
      </c>
      <c r="T10" s="7">
        <v>121.943</v>
      </c>
      <c r="U10" s="7">
        <v>157.659</v>
      </c>
      <c r="V10" s="7">
        <v>196.842</v>
      </c>
      <c r="W10" s="7" t="s">
        <v>59</v>
      </c>
      <c r="X10" s="7" t="s">
        <v>59</v>
      </c>
      <c r="Y10" s="7" t="s">
        <v>59</v>
      </c>
      <c r="Z10" s="7" t="s">
        <v>59</v>
      </c>
      <c r="AA10" s="7" t="s">
        <v>41</v>
      </c>
      <c r="AB10" s="7" t="s">
        <v>41</v>
      </c>
      <c r="AC10" s="7" t="s">
        <v>41</v>
      </c>
      <c r="AD10" s="7" t="s">
        <v>41</v>
      </c>
      <c r="AE10" s="7" t="s">
        <v>41</v>
      </c>
      <c r="AF10" s="7" t="s">
        <v>41</v>
      </c>
      <c r="AG10" s="7" t="s">
        <v>41</v>
      </c>
    </row>
    <row r="11">
      <c r="A11" s="7" t="s">
        <v>66</v>
      </c>
      <c r="B11" s="7" t="s">
        <v>67</v>
      </c>
      <c r="C11" s="7" t="s">
        <v>68</v>
      </c>
      <c r="D11" s="7" t="s">
        <v>40</v>
      </c>
      <c r="E11" s="8">
        <v>0.32</v>
      </c>
      <c r="F11" s="8">
        <v>86.86</v>
      </c>
      <c r="G11" s="7">
        <v>99.92</v>
      </c>
      <c r="H11" s="7">
        <v>10.13</v>
      </c>
      <c r="I11" s="7">
        <v>23.71</v>
      </c>
      <c r="J11" s="9">
        <v>0.0223</v>
      </c>
      <c r="K11" s="9">
        <v>0.2031</v>
      </c>
      <c r="L11" s="9">
        <v>0.1481</v>
      </c>
      <c r="M11" s="7" t="s">
        <v>51</v>
      </c>
      <c r="N11" s="7">
        <v>3.57</v>
      </c>
      <c r="O11" s="7">
        <v>24.72</v>
      </c>
      <c r="P11" s="7">
        <v>26.5</v>
      </c>
      <c r="Q11" s="7">
        <v>23.51</v>
      </c>
      <c r="R11" s="7">
        <v>29.06</v>
      </c>
      <c r="S11" s="7">
        <v>5.17</v>
      </c>
      <c r="T11" s="7">
        <v>5.35</v>
      </c>
      <c r="U11" s="7">
        <v>4.22</v>
      </c>
      <c r="V11" s="7">
        <v>7.44</v>
      </c>
      <c r="W11" s="7" t="s">
        <v>55</v>
      </c>
      <c r="X11" s="7" t="s">
        <v>43</v>
      </c>
      <c r="Y11" s="7" t="s">
        <v>53</v>
      </c>
      <c r="Z11" s="7" t="s">
        <v>69</v>
      </c>
      <c r="AA11" s="7" t="s">
        <v>42</v>
      </c>
      <c r="AB11" s="7" t="s">
        <v>43</v>
      </c>
      <c r="AC11" s="7">
        <v>25.0</v>
      </c>
      <c r="AD11" s="7">
        <v>6.1</v>
      </c>
      <c r="AE11" s="7">
        <v>14.2</v>
      </c>
      <c r="AF11" s="7">
        <v>4.3</v>
      </c>
      <c r="AG11" s="7">
        <v>2.0</v>
      </c>
    </row>
    <row r="12">
      <c r="A12" s="7" t="s">
        <v>70</v>
      </c>
      <c r="B12" s="7" t="s">
        <v>71</v>
      </c>
      <c r="C12" s="7" t="s">
        <v>72</v>
      </c>
      <c r="D12" s="7" t="s">
        <v>33</v>
      </c>
      <c r="E12" s="8">
        <v>4.6</v>
      </c>
      <c r="F12" s="8">
        <v>64.8</v>
      </c>
      <c r="G12" s="7">
        <v>1.93</v>
      </c>
      <c r="H12" s="7">
        <v>0.03867</v>
      </c>
      <c r="I12" s="7">
        <v>13.52</v>
      </c>
      <c r="J12" s="9">
        <v>0.0176</v>
      </c>
      <c r="K12" s="9">
        <v>0.1195</v>
      </c>
      <c r="L12" s="9">
        <v>0.0908</v>
      </c>
      <c r="M12" s="9">
        <v>0.1921</v>
      </c>
      <c r="N12" s="7">
        <v>4.88</v>
      </c>
      <c r="O12" s="7">
        <v>0.95543</v>
      </c>
      <c r="P12" s="7">
        <v>1.01</v>
      </c>
      <c r="Q12" s="7">
        <v>0.98892</v>
      </c>
      <c r="R12" s="7">
        <v>1.08</v>
      </c>
      <c r="S12" s="7">
        <v>0.21737</v>
      </c>
      <c r="T12" s="7">
        <v>0.25832</v>
      </c>
      <c r="U12" s="7">
        <v>0.25789</v>
      </c>
      <c r="V12" s="7">
        <v>0.23076</v>
      </c>
      <c r="W12" s="7" t="s">
        <v>59</v>
      </c>
      <c r="X12" s="7" t="s">
        <v>43</v>
      </c>
      <c r="Y12" s="7" t="s">
        <v>41</v>
      </c>
      <c r="Z12" s="7" t="s">
        <v>41</v>
      </c>
      <c r="AA12" s="7" t="s">
        <v>59</v>
      </c>
      <c r="AB12" s="7" t="s">
        <v>43</v>
      </c>
      <c r="AC12" s="7" t="s">
        <v>41</v>
      </c>
      <c r="AD12" s="7" t="s">
        <v>41</v>
      </c>
      <c r="AE12" s="7" t="s">
        <v>41</v>
      </c>
      <c r="AF12" s="7" t="s">
        <v>41</v>
      </c>
      <c r="AG12" s="7" t="s">
        <v>41</v>
      </c>
    </row>
    <row r="13">
      <c r="A13" s="11" t="s">
        <v>73</v>
      </c>
      <c r="B13" s="11" t="s">
        <v>74</v>
      </c>
      <c r="C13" s="11" t="s">
        <v>75</v>
      </c>
      <c r="D13" s="7" t="s">
        <v>33</v>
      </c>
      <c r="E13" s="8">
        <v>26.44</v>
      </c>
      <c r="F13" s="8">
        <v>24.14</v>
      </c>
      <c r="G13" s="7">
        <v>189.846</v>
      </c>
      <c r="H13" s="7">
        <v>15.264</v>
      </c>
      <c r="I13" s="7">
        <v>10.72</v>
      </c>
      <c r="J13" s="9">
        <v>0.0321</v>
      </c>
      <c r="K13" s="9">
        <v>0.0246</v>
      </c>
      <c r="L13" s="9">
        <v>0.0197</v>
      </c>
      <c r="M13" s="9">
        <v>0.0401</v>
      </c>
      <c r="N13" s="7">
        <v>2.33</v>
      </c>
      <c r="O13" s="7">
        <v>388.379</v>
      </c>
      <c r="P13" s="7">
        <v>344.877</v>
      </c>
      <c r="Q13" s="7">
        <v>180.543</v>
      </c>
      <c r="R13" s="7">
        <v>261.504</v>
      </c>
      <c r="S13" s="7">
        <v>36.758</v>
      </c>
      <c r="T13" s="7">
        <v>21.447</v>
      </c>
      <c r="U13" s="7">
        <v>10.758</v>
      </c>
      <c r="V13" s="7">
        <v>31.734</v>
      </c>
      <c r="W13" s="7" t="s">
        <v>43</v>
      </c>
      <c r="X13" s="7" t="s">
        <v>43</v>
      </c>
      <c r="Y13" s="7" t="s">
        <v>59</v>
      </c>
      <c r="Z13" s="7" t="s">
        <v>59</v>
      </c>
      <c r="AA13" s="7" t="s">
        <v>59</v>
      </c>
      <c r="AB13" s="7" t="s">
        <v>59</v>
      </c>
      <c r="AC13" s="7">
        <v>35.0</v>
      </c>
      <c r="AD13" s="7">
        <v>19.4</v>
      </c>
      <c r="AE13" s="7">
        <v>8.2</v>
      </c>
      <c r="AF13" s="7">
        <v>7.9</v>
      </c>
      <c r="AG13" s="7">
        <v>4.0</v>
      </c>
    </row>
    <row r="14">
      <c r="A14" s="7" t="s">
        <v>76</v>
      </c>
      <c r="B14" s="7" t="s">
        <v>77</v>
      </c>
      <c r="C14" s="7" t="s">
        <v>78</v>
      </c>
      <c r="D14" s="7" t="s">
        <v>79</v>
      </c>
      <c r="E14" s="8">
        <v>29.91</v>
      </c>
      <c r="F14" s="8">
        <v>46.18</v>
      </c>
      <c r="G14" s="7">
        <v>28.44</v>
      </c>
      <c r="H14" s="7">
        <v>2.5</v>
      </c>
      <c r="I14" s="7">
        <v>12.31</v>
      </c>
      <c r="J14" s="7" t="s">
        <v>51</v>
      </c>
      <c r="K14" s="9">
        <v>0.0308</v>
      </c>
      <c r="L14" s="9">
        <v>0.024</v>
      </c>
      <c r="M14" s="9">
        <v>0.0434</v>
      </c>
      <c r="N14" s="7">
        <v>3.73</v>
      </c>
      <c r="O14" s="7">
        <v>27.47</v>
      </c>
      <c r="P14" s="7">
        <v>26.72</v>
      </c>
      <c r="Q14" s="7">
        <v>23.14</v>
      </c>
      <c r="R14" s="7">
        <v>26.83</v>
      </c>
      <c r="S14" s="7">
        <v>5.5</v>
      </c>
      <c r="T14" s="7">
        <v>6.2</v>
      </c>
      <c r="U14" s="7">
        <v>5.48</v>
      </c>
      <c r="V14" s="7">
        <v>6.42</v>
      </c>
      <c r="W14" s="7" t="s">
        <v>34</v>
      </c>
      <c r="X14" s="7" t="s">
        <v>34</v>
      </c>
      <c r="Y14" s="7" t="s">
        <v>41</v>
      </c>
      <c r="Z14" s="7" t="s">
        <v>41</v>
      </c>
      <c r="AA14" s="7" t="s">
        <v>35</v>
      </c>
      <c r="AB14" s="7" t="s">
        <v>35</v>
      </c>
      <c r="AC14" s="7">
        <v>21.0</v>
      </c>
      <c r="AD14" s="7">
        <v>11.9</v>
      </c>
      <c r="AE14" s="7">
        <v>3.0</v>
      </c>
      <c r="AF14" s="7">
        <v>6.3</v>
      </c>
      <c r="AG14" s="7">
        <v>3.0</v>
      </c>
    </row>
    <row r="15">
      <c r="A15" s="7" t="s">
        <v>80</v>
      </c>
      <c r="B15" s="7" t="s">
        <v>81</v>
      </c>
      <c r="C15" s="7" t="s">
        <v>82</v>
      </c>
      <c r="D15" s="7" t="s">
        <v>33</v>
      </c>
      <c r="E15" s="8">
        <v>31.34</v>
      </c>
      <c r="F15" s="8">
        <v>123.25</v>
      </c>
      <c r="G15" s="7">
        <v>21.97</v>
      </c>
      <c r="H15" s="7">
        <v>0.058393</v>
      </c>
      <c r="I15" s="7">
        <v>12.4</v>
      </c>
      <c r="J15" s="9">
        <v>0.0365</v>
      </c>
      <c r="K15" s="9">
        <v>0.0664</v>
      </c>
      <c r="L15" s="9">
        <v>0.0508</v>
      </c>
      <c r="M15" s="9">
        <v>0.1219</v>
      </c>
      <c r="N15" s="7">
        <v>10.31</v>
      </c>
      <c r="O15" s="7">
        <v>22.03</v>
      </c>
      <c r="P15" s="7">
        <v>24.14</v>
      </c>
      <c r="Q15" s="7">
        <v>20.47</v>
      </c>
      <c r="R15" s="7">
        <v>23.8</v>
      </c>
      <c r="S15" s="7">
        <v>4.12</v>
      </c>
      <c r="T15" s="7">
        <v>4.76</v>
      </c>
      <c r="U15" s="7">
        <v>3.73</v>
      </c>
      <c r="V15" s="7" t="s">
        <v>41</v>
      </c>
      <c r="W15" s="7" t="s">
        <v>35</v>
      </c>
      <c r="X15" s="7" t="s">
        <v>34</v>
      </c>
      <c r="Y15" s="7" t="s">
        <v>83</v>
      </c>
      <c r="Z15" s="7" t="s">
        <v>44</v>
      </c>
      <c r="AA15" s="7" t="s">
        <v>35</v>
      </c>
      <c r="AB15" s="7" t="s">
        <v>43</v>
      </c>
      <c r="AC15" s="7">
        <v>13.0</v>
      </c>
      <c r="AD15" s="7">
        <v>3.0</v>
      </c>
      <c r="AE15" s="7">
        <v>4.2</v>
      </c>
      <c r="AF15" s="7">
        <v>5.4</v>
      </c>
      <c r="AG15" s="7">
        <v>2.0</v>
      </c>
    </row>
    <row r="16">
      <c r="A16" s="7" t="s">
        <v>84</v>
      </c>
      <c r="B16" s="7" t="s">
        <v>85</v>
      </c>
      <c r="C16" s="7" t="s">
        <v>86</v>
      </c>
      <c r="D16" s="7" t="s">
        <v>33</v>
      </c>
      <c r="E16" s="8">
        <v>1.97</v>
      </c>
      <c r="F16" s="8">
        <v>13.7</v>
      </c>
      <c r="G16" s="7">
        <v>15.51</v>
      </c>
      <c r="H16" s="7">
        <v>2.67</v>
      </c>
      <c r="I16" s="7" t="s">
        <v>41</v>
      </c>
      <c r="J16" s="7" t="s">
        <v>51</v>
      </c>
      <c r="K16" s="9">
        <v>0.0737</v>
      </c>
      <c r="L16" s="9">
        <v>0.0512</v>
      </c>
      <c r="M16" s="9">
        <v>0.1419</v>
      </c>
      <c r="N16" s="7">
        <v>-0.91</v>
      </c>
      <c r="O16" s="7">
        <v>7.15</v>
      </c>
      <c r="P16" s="7">
        <v>7.7</v>
      </c>
      <c r="Q16" s="7">
        <v>8.49</v>
      </c>
      <c r="R16" s="7">
        <v>1.64</v>
      </c>
      <c r="S16" s="7">
        <v>2.23</v>
      </c>
      <c r="T16" s="7">
        <v>1.66</v>
      </c>
      <c r="U16" s="7">
        <v>1.88</v>
      </c>
      <c r="V16" s="7" t="s">
        <v>41</v>
      </c>
      <c r="W16" s="7" t="s">
        <v>42</v>
      </c>
      <c r="X16" s="7" t="s">
        <v>43</v>
      </c>
      <c r="Y16" s="7" t="s">
        <v>41</v>
      </c>
      <c r="Z16" s="7" t="s">
        <v>41</v>
      </c>
      <c r="AA16" s="7" t="s">
        <v>41</v>
      </c>
      <c r="AB16" s="7" t="s">
        <v>41</v>
      </c>
      <c r="AC16" s="7">
        <v>30.0</v>
      </c>
      <c r="AD16" s="7">
        <v>8.8</v>
      </c>
      <c r="AE16" s="7">
        <v>15.3</v>
      </c>
      <c r="AF16" s="7">
        <v>5.4</v>
      </c>
      <c r="AG16" s="7">
        <v>3.0</v>
      </c>
    </row>
    <row r="17">
      <c r="A17" s="7" t="s">
        <v>87</v>
      </c>
      <c r="B17" s="7" t="s">
        <v>88</v>
      </c>
      <c r="C17" s="7" t="s">
        <v>89</v>
      </c>
      <c r="D17" s="7" t="s">
        <v>33</v>
      </c>
      <c r="E17" s="8">
        <v>2.9</v>
      </c>
      <c r="F17" s="8">
        <v>139.7</v>
      </c>
      <c r="G17" s="7">
        <v>2.73</v>
      </c>
      <c r="H17" s="7">
        <v>31.07</v>
      </c>
      <c r="I17" s="7">
        <v>12.08</v>
      </c>
      <c r="J17" s="9">
        <v>0.0308</v>
      </c>
      <c r="K17" s="9">
        <v>0.1656</v>
      </c>
      <c r="L17" s="9">
        <v>0.1101</v>
      </c>
      <c r="M17" s="9">
        <v>0.207</v>
      </c>
      <c r="N17" s="7">
        <v>11.55</v>
      </c>
      <c r="O17" s="7">
        <v>2.31</v>
      </c>
      <c r="P17" s="7">
        <v>2.33</v>
      </c>
      <c r="Q17" s="7">
        <v>2.18</v>
      </c>
      <c r="R17" s="7">
        <v>2.93</v>
      </c>
      <c r="S17" s="7">
        <v>0.25342</v>
      </c>
      <c r="T17" s="7">
        <v>0.23584</v>
      </c>
      <c r="U17" s="7">
        <v>0.23776</v>
      </c>
      <c r="V17" s="7">
        <v>0.42454</v>
      </c>
      <c r="W17" s="7" t="s">
        <v>59</v>
      </c>
      <c r="X17" s="7" t="s">
        <v>59</v>
      </c>
      <c r="Y17" s="7" t="s">
        <v>41</v>
      </c>
      <c r="Z17" s="7" t="s">
        <v>41</v>
      </c>
      <c r="AA17" s="7" t="s">
        <v>41</v>
      </c>
      <c r="AB17" s="7" t="s">
        <v>41</v>
      </c>
      <c r="AC17" s="7" t="s">
        <v>41</v>
      </c>
      <c r="AD17" s="7" t="s">
        <v>41</v>
      </c>
      <c r="AE17" s="7" t="s">
        <v>41</v>
      </c>
      <c r="AF17" s="7" t="s">
        <v>41</v>
      </c>
      <c r="AG17" s="7" t="s">
        <v>41</v>
      </c>
    </row>
    <row r="18">
      <c r="A18" s="7" t="s">
        <v>90</v>
      </c>
      <c r="B18" s="7" t="s">
        <v>91</v>
      </c>
      <c r="C18" s="7" t="s">
        <v>92</v>
      </c>
      <c r="D18" s="7" t="s">
        <v>33</v>
      </c>
      <c r="E18" s="8">
        <v>0.18</v>
      </c>
      <c r="F18" s="8">
        <v>14.16</v>
      </c>
      <c r="G18" s="7">
        <v>1.2</v>
      </c>
      <c r="H18" s="7">
        <v>0.101</v>
      </c>
      <c r="I18" s="7" t="s">
        <v>41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41</v>
      </c>
      <c r="O18" s="7">
        <v>1.29</v>
      </c>
      <c r="P18" s="7">
        <v>1.34</v>
      </c>
      <c r="Q18" s="7">
        <v>1.01</v>
      </c>
      <c r="R18" s="7">
        <v>1.23</v>
      </c>
      <c r="S18" s="7">
        <v>0.1536</v>
      </c>
      <c r="T18" s="7">
        <v>0.15511</v>
      </c>
      <c r="U18" s="7">
        <v>0.07146</v>
      </c>
      <c r="V18" s="7" t="s">
        <v>41</v>
      </c>
      <c r="W18" s="7" t="s">
        <v>59</v>
      </c>
      <c r="X18" s="7" t="s">
        <v>59</v>
      </c>
      <c r="Y18" s="7" t="s">
        <v>41</v>
      </c>
      <c r="Z18" s="7" t="s">
        <v>41</v>
      </c>
      <c r="AA18" s="7" t="s">
        <v>41</v>
      </c>
      <c r="AB18" s="7" t="s">
        <v>41</v>
      </c>
      <c r="AC18" s="7" t="s">
        <v>41</v>
      </c>
      <c r="AD18" s="7" t="s">
        <v>41</v>
      </c>
      <c r="AE18" s="7" t="s">
        <v>41</v>
      </c>
      <c r="AF18" s="7" t="s">
        <v>41</v>
      </c>
      <c r="AG18" s="7" t="s">
        <v>41</v>
      </c>
    </row>
    <row r="19">
      <c r="A19" s="7" t="s">
        <v>93</v>
      </c>
      <c r="B19" s="7" t="s">
        <v>94</v>
      </c>
      <c r="C19" s="7" t="s">
        <v>95</v>
      </c>
      <c r="D19" s="7" t="s">
        <v>33</v>
      </c>
      <c r="E19" s="8">
        <v>36.13</v>
      </c>
      <c r="F19" s="8">
        <v>57.88</v>
      </c>
      <c r="G19" s="7">
        <v>29.72</v>
      </c>
      <c r="H19" s="7">
        <v>1.46</v>
      </c>
      <c r="I19" s="7">
        <v>12.17</v>
      </c>
      <c r="J19" s="9">
        <v>0.0287</v>
      </c>
      <c r="K19" s="9">
        <v>0.0391</v>
      </c>
      <c r="L19" s="9">
        <v>0.0279</v>
      </c>
      <c r="M19" s="9">
        <v>0.0683</v>
      </c>
      <c r="N19" s="7">
        <v>4.79</v>
      </c>
      <c r="O19" s="7">
        <v>41.77</v>
      </c>
      <c r="P19" s="7">
        <v>42.57</v>
      </c>
      <c r="Q19" s="7">
        <v>38.13</v>
      </c>
      <c r="R19" s="7">
        <v>44.16</v>
      </c>
      <c r="S19" s="7">
        <v>5.08</v>
      </c>
      <c r="T19" s="7">
        <v>5.27</v>
      </c>
      <c r="U19" s="7">
        <v>4.74</v>
      </c>
      <c r="V19" s="7">
        <v>6.44</v>
      </c>
      <c r="W19" s="7" t="s">
        <v>35</v>
      </c>
      <c r="X19" s="7" t="s">
        <v>34</v>
      </c>
      <c r="Y19" s="7" t="s">
        <v>59</v>
      </c>
      <c r="Z19" s="7" t="s">
        <v>59</v>
      </c>
      <c r="AA19" s="7" t="s">
        <v>43</v>
      </c>
      <c r="AB19" s="7" t="s">
        <v>35</v>
      </c>
      <c r="AC19" s="7">
        <v>20.0</v>
      </c>
      <c r="AD19" s="7">
        <v>8.4</v>
      </c>
      <c r="AE19" s="7">
        <v>6.1</v>
      </c>
      <c r="AF19" s="7">
        <v>5.6</v>
      </c>
      <c r="AG19" s="7">
        <v>3.0</v>
      </c>
    </row>
    <row r="20">
      <c r="A20" s="7" t="s">
        <v>96</v>
      </c>
      <c r="B20" s="7" t="s">
        <v>97</v>
      </c>
      <c r="C20" s="7" t="s">
        <v>98</v>
      </c>
      <c r="D20" s="7" t="s">
        <v>33</v>
      </c>
      <c r="E20" s="8">
        <v>18.17</v>
      </c>
      <c r="F20" s="8">
        <v>36.92</v>
      </c>
      <c r="G20" s="7">
        <v>2.23</v>
      </c>
      <c r="H20" s="7">
        <v>0.09913</v>
      </c>
      <c r="I20" s="7">
        <v>5.2</v>
      </c>
      <c r="J20" s="9">
        <v>0.0286</v>
      </c>
      <c r="K20" s="9">
        <v>0.0446</v>
      </c>
      <c r="L20" s="9">
        <v>0.0276</v>
      </c>
      <c r="M20" s="9">
        <v>0.1079</v>
      </c>
      <c r="N20" s="7">
        <v>7.14</v>
      </c>
      <c r="O20" s="7">
        <v>4.31</v>
      </c>
      <c r="P20" s="7">
        <v>4.32</v>
      </c>
      <c r="Q20" s="7">
        <v>3.77</v>
      </c>
      <c r="R20" s="7">
        <v>4.84</v>
      </c>
      <c r="S20" s="7">
        <v>0.32685</v>
      </c>
      <c r="T20" s="7">
        <v>0.44446</v>
      </c>
      <c r="U20" s="7">
        <v>0.46045</v>
      </c>
      <c r="V20" s="7">
        <v>0.6433</v>
      </c>
      <c r="W20" s="7" t="s">
        <v>55</v>
      </c>
      <c r="X20" s="7" t="s">
        <v>55</v>
      </c>
      <c r="Y20" s="7" t="s">
        <v>41</v>
      </c>
      <c r="Z20" s="7" t="s">
        <v>41</v>
      </c>
      <c r="AA20" s="7" t="s">
        <v>41</v>
      </c>
      <c r="AB20" s="7" t="s">
        <v>41</v>
      </c>
      <c r="AC20" s="7" t="s">
        <v>41</v>
      </c>
      <c r="AD20" s="7" t="s">
        <v>41</v>
      </c>
      <c r="AE20" s="7" t="s">
        <v>41</v>
      </c>
      <c r="AF20" s="7" t="s">
        <v>41</v>
      </c>
      <c r="AG20" s="7" t="s">
        <v>41</v>
      </c>
    </row>
    <row r="21">
      <c r="A21" s="7" t="s">
        <v>99</v>
      </c>
      <c r="B21" s="7" t="s">
        <v>100</v>
      </c>
      <c r="C21" s="7" t="s">
        <v>101</v>
      </c>
      <c r="D21" s="7" t="s">
        <v>33</v>
      </c>
      <c r="E21" s="8">
        <v>23.35</v>
      </c>
      <c r="F21" s="8">
        <v>50.35</v>
      </c>
      <c r="G21" s="7">
        <v>1.24</v>
      </c>
      <c r="H21" s="7">
        <v>0.03112</v>
      </c>
      <c r="I21" s="7">
        <v>15.92</v>
      </c>
      <c r="J21" s="9">
        <v>0.0253</v>
      </c>
      <c r="K21" s="9">
        <v>0.0845</v>
      </c>
      <c r="L21" s="9">
        <v>0.0701</v>
      </c>
      <c r="M21" s="9">
        <v>0.1698</v>
      </c>
      <c r="N21" s="7">
        <v>2.97</v>
      </c>
      <c r="O21" s="7">
        <v>0.96256</v>
      </c>
      <c r="P21" s="7">
        <v>0.995134</v>
      </c>
      <c r="Q21" s="7">
        <v>0.92213</v>
      </c>
      <c r="R21" s="7">
        <v>0.93767</v>
      </c>
      <c r="S21" s="7">
        <v>0.18711</v>
      </c>
      <c r="T21" s="7">
        <v>0.17702</v>
      </c>
      <c r="U21" s="7">
        <v>0.14744</v>
      </c>
      <c r="V21" s="7">
        <v>0.018202</v>
      </c>
      <c r="W21" s="7" t="s">
        <v>41</v>
      </c>
      <c r="X21" s="7" t="s">
        <v>41</v>
      </c>
      <c r="Y21" s="7" t="s">
        <v>41</v>
      </c>
      <c r="Z21" s="7" t="s">
        <v>41</v>
      </c>
      <c r="AA21" s="7" t="s">
        <v>41</v>
      </c>
      <c r="AB21" s="7" t="s">
        <v>41</v>
      </c>
      <c r="AC21" s="7" t="s">
        <v>41</v>
      </c>
      <c r="AD21" s="7" t="s">
        <v>41</v>
      </c>
      <c r="AE21" s="7" t="s">
        <v>41</v>
      </c>
      <c r="AF21" s="7" t="s">
        <v>41</v>
      </c>
      <c r="AG21" s="7" t="s">
        <v>41</v>
      </c>
    </row>
    <row r="22">
      <c r="A22" s="7" t="s">
        <v>102</v>
      </c>
      <c r="B22" s="7" t="s">
        <v>103</v>
      </c>
      <c r="C22" s="7" t="s">
        <v>104</v>
      </c>
      <c r="D22" s="7" t="s">
        <v>33</v>
      </c>
      <c r="E22" s="8">
        <v>7.01</v>
      </c>
      <c r="F22" s="8">
        <v>2.83</v>
      </c>
      <c r="G22" s="7">
        <v>0.381</v>
      </c>
      <c r="H22" s="7">
        <v>0.22757</v>
      </c>
      <c r="I22" s="7">
        <v>11.16</v>
      </c>
      <c r="J22" s="7" t="s">
        <v>51</v>
      </c>
      <c r="K22" s="9">
        <v>0.039</v>
      </c>
      <c r="L22" s="9">
        <v>0.0261</v>
      </c>
      <c r="M22" s="9">
        <v>0.0568</v>
      </c>
      <c r="N22" s="7">
        <v>0.25</v>
      </c>
      <c r="O22" s="7">
        <v>0.67423</v>
      </c>
      <c r="P22" s="7">
        <v>0.63381</v>
      </c>
      <c r="Q22" s="7">
        <v>0.64219</v>
      </c>
      <c r="R22" s="7">
        <v>0.8381</v>
      </c>
      <c r="S22" s="7">
        <v>0.06996</v>
      </c>
      <c r="T22" s="7">
        <v>0.04619</v>
      </c>
      <c r="U22" s="7">
        <v>0.08</v>
      </c>
      <c r="V22" s="7">
        <v>0.08511</v>
      </c>
      <c r="W22" s="7" t="s">
        <v>59</v>
      </c>
      <c r="X22" s="7" t="s">
        <v>55</v>
      </c>
      <c r="Y22" s="7" t="s">
        <v>41</v>
      </c>
      <c r="Z22" s="7" t="s">
        <v>41</v>
      </c>
      <c r="AA22" s="7" t="s">
        <v>41</v>
      </c>
      <c r="AB22" s="7" t="s">
        <v>41</v>
      </c>
      <c r="AC22" s="7" t="s">
        <v>41</v>
      </c>
      <c r="AD22" s="7" t="s">
        <v>41</v>
      </c>
      <c r="AE22" s="7" t="s">
        <v>41</v>
      </c>
      <c r="AF22" s="7" t="s">
        <v>41</v>
      </c>
      <c r="AG22" s="7" t="s">
        <v>41</v>
      </c>
    </row>
    <row r="23">
      <c r="A23" s="7" t="s">
        <v>105</v>
      </c>
      <c r="B23" s="7" t="s">
        <v>106</v>
      </c>
      <c r="C23" s="7" t="s">
        <v>107</v>
      </c>
      <c r="D23" s="7" t="s">
        <v>33</v>
      </c>
      <c r="E23" s="8">
        <v>216.89</v>
      </c>
      <c r="F23" s="8">
        <v>240.0</v>
      </c>
      <c r="G23" s="7">
        <v>33.65</v>
      </c>
      <c r="H23" s="7">
        <v>0.498115</v>
      </c>
      <c r="I23" s="7">
        <v>11.47</v>
      </c>
      <c r="J23" s="9">
        <v>0.0458</v>
      </c>
      <c r="K23" s="7" t="s">
        <v>51</v>
      </c>
      <c r="L23" s="9">
        <v>0.0065</v>
      </c>
      <c r="M23" s="9">
        <v>0.0695</v>
      </c>
      <c r="N23" s="7">
        <v>20.94</v>
      </c>
      <c r="O23" s="7">
        <v>57.34</v>
      </c>
      <c r="P23" s="7">
        <v>64.85</v>
      </c>
      <c r="Q23" s="7">
        <v>66.44</v>
      </c>
      <c r="R23" s="7">
        <v>70.24</v>
      </c>
      <c r="S23" s="7" t="s">
        <v>41</v>
      </c>
      <c r="T23" s="7" t="s">
        <v>41</v>
      </c>
      <c r="U23" s="7" t="s">
        <v>41</v>
      </c>
      <c r="V23" s="7" t="s">
        <v>41</v>
      </c>
      <c r="W23" s="7" t="s">
        <v>43</v>
      </c>
      <c r="X23" s="7" t="s">
        <v>35</v>
      </c>
      <c r="Y23" s="7" t="s">
        <v>41</v>
      </c>
      <c r="Z23" s="7" t="s">
        <v>41</v>
      </c>
      <c r="AA23" s="7" t="s">
        <v>41</v>
      </c>
      <c r="AB23" s="7" t="s">
        <v>41</v>
      </c>
      <c r="AC23" s="7">
        <v>18.0</v>
      </c>
      <c r="AD23" s="7">
        <v>0.4</v>
      </c>
      <c r="AE23" s="7">
        <v>9.7</v>
      </c>
      <c r="AF23" s="7">
        <v>8.2</v>
      </c>
      <c r="AG23" s="7">
        <v>2.0</v>
      </c>
    </row>
    <row r="24">
      <c r="A24" s="7" t="s">
        <v>108</v>
      </c>
      <c r="B24" s="7" t="s">
        <v>109</v>
      </c>
      <c r="C24" s="7" t="s">
        <v>110</v>
      </c>
      <c r="D24" s="7" t="s">
        <v>33</v>
      </c>
      <c r="E24" s="8">
        <v>74.0</v>
      </c>
      <c r="F24" s="8">
        <v>145.15</v>
      </c>
      <c r="G24" s="7">
        <v>21.86</v>
      </c>
      <c r="H24" s="7">
        <v>0.24999</v>
      </c>
      <c r="I24" s="7" t="s">
        <v>41</v>
      </c>
      <c r="J24" s="7" t="s">
        <v>51</v>
      </c>
      <c r="K24" s="9">
        <v>0.0551</v>
      </c>
      <c r="L24" s="9">
        <v>0.0488</v>
      </c>
      <c r="M24" s="9">
        <v>0.1281</v>
      </c>
      <c r="N24" s="7">
        <v>-0.4</v>
      </c>
      <c r="O24" s="7">
        <v>4.2</v>
      </c>
      <c r="P24" s="7">
        <v>4.44</v>
      </c>
      <c r="Q24" s="7">
        <v>2.18</v>
      </c>
      <c r="R24" s="7">
        <v>2.32</v>
      </c>
      <c r="S24" s="7">
        <v>2.62</v>
      </c>
      <c r="T24" s="7">
        <v>2.75</v>
      </c>
      <c r="U24" s="7">
        <v>0.85121</v>
      </c>
      <c r="V24" s="7">
        <v>0.8224</v>
      </c>
      <c r="W24" s="7" t="s">
        <v>34</v>
      </c>
      <c r="X24" s="7" t="s">
        <v>43</v>
      </c>
      <c r="Y24" s="7" t="s">
        <v>41</v>
      </c>
      <c r="Z24" s="7" t="s">
        <v>41</v>
      </c>
      <c r="AA24" s="7" t="s">
        <v>41</v>
      </c>
      <c r="AB24" s="7" t="s">
        <v>41</v>
      </c>
      <c r="AC24" s="7">
        <v>11.0</v>
      </c>
      <c r="AD24" s="7">
        <v>2.3</v>
      </c>
      <c r="AE24" s="7">
        <v>4.1</v>
      </c>
      <c r="AF24" s="7">
        <v>4.8</v>
      </c>
      <c r="AG24" s="7">
        <v>0.0</v>
      </c>
    </row>
    <row r="25">
      <c r="A25" s="7" t="s">
        <v>111</v>
      </c>
      <c r="B25" s="7" t="s">
        <v>112</v>
      </c>
      <c r="C25" s="7" t="s">
        <v>113</v>
      </c>
      <c r="D25" s="7" t="s">
        <v>33</v>
      </c>
      <c r="E25" s="8">
        <v>9.35</v>
      </c>
      <c r="F25" s="8">
        <v>10.1</v>
      </c>
      <c r="G25" s="7">
        <v>1.32</v>
      </c>
      <c r="H25" s="7">
        <v>0.10593</v>
      </c>
      <c r="I25" s="7">
        <v>17.88</v>
      </c>
      <c r="J25" s="7" t="s">
        <v>51</v>
      </c>
      <c r="K25" s="9">
        <v>0.1434</v>
      </c>
      <c r="L25" s="9">
        <v>0.0938</v>
      </c>
      <c r="M25" s="9">
        <v>0.1734</v>
      </c>
      <c r="N25" s="7">
        <v>0.48</v>
      </c>
      <c r="O25" s="7">
        <v>0.76312</v>
      </c>
      <c r="P25" s="7">
        <v>0.78106</v>
      </c>
      <c r="Q25" s="7">
        <v>0.74011</v>
      </c>
      <c r="R25" s="7">
        <v>0.83782</v>
      </c>
      <c r="S25" s="7">
        <v>0.12629</v>
      </c>
      <c r="T25" s="7">
        <v>0.1182</v>
      </c>
      <c r="U25" s="7">
        <v>0.10929</v>
      </c>
      <c r="V25" s="7" t="s">
        <v>41</v>
      </c>
      <c r="W25" s="7" t="s">
        <v>36</v>
      </c>
      <c r="X25" s="7" t="s">
        <v>114</v>
      </c>
      <c r="Y25" s="7" t="s">
        <v>59</v>
      </c>
      <c r="Z25" s="7" t="s">
        <v>59</v>
      </c>
      <c r="AA25" s="7" t="s">
        <v>36</v>
      </c>
      <c r="AB25" s="7" t="s">
        <v>36</v>
      </c>
      <c r="AC25" s="7" t="s">
        <v>41</v>
      </c>
      <c r="AD25" s="7" t="s">
        <v>41</v>
      </c>
      <c r="AE25" s="7" t="s">
        <v>41</v>
      </c>
      <c r="AF25" s="7" t="s">
        <v>41</v>
      </c>
      <c r="AG25" s="7" t="s">
        <v>41</v>
      </c>
    </row>
    <row r="26">
      <c r="A26" s="7" t="s">
        <v>115</v>
      </c>
      <c r="B26" s="7" t="s">
        <v>116</v>
      </c>
      <c r="C26" s="7" t="s">
        <v>117</v>
      </c>
      <c r="D26" s="7" t="s">
        <v>33</v>
      </c>
      <c r="E26" s="8">
        <v>7.19</v>
      </c>
      <c r="F26" s="8">
        <v>94.04</v>
      </c>
      <c r="G26" s="7">
        <v>119.47</v>
      </c>
      <c r="H26" s="7">
        <v>3.01</v>
      </c>
      <c r="I26" s="7">
        <v>19.08</v>
      </c>
      <c r="J26" s="9">
        <v>0.0353</v>
      </c>
      <c r="K26" s="9">
        <v>0.0623</v>
      </c>
      <c r="L26" s="9">
        <v>0.0519</v>
      </c>
      <c r="M26" s="9">
        <v>0.0975</v>
      </c>
      <c r="N26" s="7">
        <v>4.97</v>
      </c>
      <c r="O26" s="7">
        <v>34.46</v>
      </c>
      <c r="P26" s="7">
        <v>36.13</v>
      </c>
      <c r="Q26" s="7">
        <v>36.04</v>
      </c>
      <c r="R26" s="7">
        <v>37.76</v>
      </c>
      <c r="S26" s="7">
        <v>8.55</v>
      </c>
      <c r="T26" s="7">
        <v>9.82</v>
      </c>
      <c r="U26" s="7">
        <v>10.54</v>
      </c>
      <c r="V26" s="7">
        <v>11.8</v>
      </c>
      <c r="W26" s="7" t="s">
        <v>35</v>
      </c>
      <c r="X26" s="7" t="s">
        <v>34</v>
      </c>
      <c r="Y26" s="7" t="s">
        <v>59</v>
      </c>
      <c r="Z26" s="7" t="s">
        <v>59</v>
      </c>
      <c r="AA26" s="7" t="s">
        <v>34</v>
      </c>
      <c r="AB26" s="7" t="s">
        <v>34</v>
      </c>
      <c r="AC26" s="7">
        <v>23.0</v>
      </c>
      <c r="AD26" s="7">
        <v>1.6</v>
      </c>
      <c r="AE26" s="7">
        <v>13.4</v>
      </c>
      <c r="AF26" s="7">
        <v>7.9</v>
      </c>
      <c r="AG26" s="7">
        <v>4.0</v>
      </c>
    </row>
    <row r="27">
      <c r="A27" s="7" t="s">
        <v>118</v>
      </c>
      <c r="B27" s="7" t="s">
        <v>119</v>
      </c>
      <c r="C27" s="7" t="s">
        <v>120</v>
      </c>
      <c r="D27" s="7" t="s">
        <v>33</v>
      </c>
      <c r="E27" s="8">
        <v>1.88</v>
      </c>
      <c r="F27" s="8">
        <v>28.28</v>
      </c>
      <c r="G27" s="7">
        <v>24.091</v>
      </c>
      <c r="H27" s="7">
        <v>3.85</v>
      </c>
      <c r="I27" s="7">
        <v>7.58</v>
      </c>
      <c r="J27" s="9">
        <v>0.0304</v>
      </c>
      <c r="K27" s="9">
        <v>0.0501</v>
      </c>
      <c r="L27" s="9">
        <v>0.0359</v>
      </c>
      <c r="M27" s="9">
        <v>0.0757</v>
      </c>
      <c r="N27" s="7">
        <v>0.67</v>
      </c>
      <c r="O27" s="7">
        <v>18.12</v>
      </c>
      <c r="P27" s="7">
        <v>19.48</v>
      </c>
      <c r="Q27" s="7">
        <v>17.31</v>
      </c>
      <c r="R27" s="7">
        <v>17.16</v>
      </c>
      <c r="S27" s="7">
        <v>3.08</v>
      </c>
      <c r="T27" s="7">
        <v>3.43</v>
      </c>
      <c r="U27" s="7">
        <v>2.87</v>
      </c>
      <c r="V27" s="7">
        <v>1.85</v>
      </c>
      <c r="W27" s="7" t="s">
        <v>34</v>
      </c>
      <c r="X27" s="7" t="s">
        <v>34</v>
      </c>
      <c r="Y27" s="7" t="s">
        <v>41</v>
      </c>
      <c r="Z27" s="7" t="s">
        <v>41</v>
      </c>
      <c r="AA27" s="7" t="s">
        <v>35</v>
      </c>
      <c r="AB27" s="7" t="s">
        <v>35</v>
      </c>
      <c r="AC27" s="7">
        <v>23.0</v>
      </c>
      <c r="AD27" s="7">
        <v>0.9</v>
      </c>
      <c r="AE27" s="7">
        <v>14.1</v>
      </c>
      <c r="AF27" s="7">
        <v>8.5</v>
      </c>
      <c r="AG27" s="7">
        <v>4.0</v>
      </c>
    </row>
    <row r="28">
      <c r="A28" s="7" t="s">
        <v>121</v>
      </c>
      <c r="B28" s="7" t="s">
        <v>122</v>
      </c>
      <c r="C28" s="7" t="s">
        <v>123</v>
      </c>
      <c r="D28" s="7" t="s">
        <v>124</v>
      </c>
      <c r="E28" s="8">
        <v>367.36</v>
      </c>
      <c r="F28" s="8">
        <v>207.0</v>
      </c>
      <c r="G28" s="7">
        <v>4.46</v>
      </c>
      <c r="H28" s="7">
        <v>6.64</v>
      </c>
      <c r="I28" s="7">
        <v>4.45</v>
      </c>
      <c r="J28" s="9">
        <v>0.0718</v>
      </c>
      <c r="K28" s="9">
        <v>0.0051</v>
      </c>
      <c r="L28" s="9">
        <v>0.0049</v>
      </c>
      <c r="M28" s="9">
        <v>0.0456</v>
      </c>
      <c r="N28" s="7">
        <v>0.47</v>
      </c>
      <c r="O28" s="7">
        <v>2.17</v>
      </c>
      <c r="P28" s="7">
        <v>2.45</v>
      </c>
      <c r="Q28" s="7">
        <v>1.64</v>
      </c>
      <c r="R28" s="7">
        <v>1.8</v>
      </c>
      <c r="S28" s="7" t="s">
        <v>41</v>
      </c>
      <c r="T28" s="7" t="s">
        <v>41</v>
      </c>
      <c r="U28" s="7" t="s">
        <v>41</v>
      </c>
      <c r="V28" s="7" t="s">
        <v>41</v>
      </c>
      <c r="W28" s="7" t="s">
        <v>43</v>
      </c>
      <c r="X28" s="7" t="s">
        <v>52</v>
      </c>
      <c r="Y28" s="7" t="s">
        <v>41</v>
      </c>
      <c r="Z28" s="7" t="s">
        <v>41</v>
      </c>
      <c r="AA28" s="7" t="s">
        <v>41</v>
      </c>
      <c r="AB28" s="7" t="s">
        <v>41</v>
      </c>
      <c r="AC28" s="7">
        <v>17.0</v>
      </c>
      <c r="AD28" s="7">
        <v>1.4</v>
      </c>
      <c r="AE28" s="7">
        <v>8.9</v>
      </c>
      <c r="AF28" s="7">
        <v>6.9</v>
      </c>
      <c r="AG28" s="7">
        <v>2.0</v>
      </c>
    </row>
    <row r="29">
      <c r="A29" s="7" t="s">
        <v>125</v>
      </c>
      <c r="B29" s="7" t="s">
        <v>126</v>
      </c>
      <c r="C29" s="7" t="s">
        <v>127</v>
      </c>
      <c r="D29" s="7" t="s">
        <v>79</v>
      </c>
      <c r="E29" s="8">
        <v>77.36</v>
      </c>
      <c r="F29" s="8">
        <v>366.7</v>
      </c>
      <c r="G29" s="7">
        <v>319.066</v>
      </c>
      <c r="H29" s="7">
        <v>0.358</v>
      </c>
      <c r="I29" s="7">
        <v>22.74</v>
      </c>
      <c r="J29" s="9">
        <v>0.0254</v>
      </c>
      <c r="K29" s="9">
        <v>0.2377</v>
      </c>
      <c r="L29" s="9">
        <v>0.1562</v>
      </c>
      <c r="M29" s="9">
        <v>0.4135</v>
      </c>
      <c r="N29" s="7">
        <v>16.39</v>
      </c>
      <c r="O29" s="7">
        <v>56.85</v>
      </c>
      <c r="P29" s="7">
        <v>61.47</v>
      </c>
      <c r="Q29" s="7">
        <v>58.32</v>
      </c>
      <c r="R29" s="7">
        <v>62.8</v>
      </c>
      <c r="S29" s="7">
        <v>20.31</v>
      </c>
      <c r="T29" s="7">
        <v>23.21</v>
      </c>
      <c r="U29" s="7">
        <v>22.29</v>
      </c>
      <c r="V29" s="7">
        <v>21.73</v>
      </c>
      <c r="W29" s="7" t="s">
        <v>36</v>
      </c>
      <c r="X29" s="7" t="s">
        <v>36</v>
      </c>
      <c r="Y29" s="7" t="s">
        <v>36</v>
      </c>
      <c r="Z29" s="7" t="s">
        <v>36</v>
      </c>
      <c r="AA29" s="7" t="s">
        <v>36</v>
      </c>
      <c r="AB29" s="7" t="s">
        <v>36</v>
      </c>
      <c r="AC29" s="7">
        <v>21.0</v>
      </c>
      <c r="AD29" s="7">
        <v>0.9</v>
      </c>
      <c r="AE29" s="7">
        <v>12.5</v>
      </c>
      <c r="AF29" s="7">
        <v>7.7</v>
      </c>
      <c r="AG29" s="7">
        <v>2.0</v>
      </c>
    </row>
    <row r="30">
      <c r="A30" s="7" t="s">
        <v>128</v>
      </c>
      <c r="B30" s="7" t="s">
        <v>129</v>
      </c>
      <c r="C30" s="7" t="s">
        <v>130</v>
      </c>
      <c r="D30" s="7" t="s">
        <v>33</v>
      </c>
      <c r="E30" s="8">
        <v>9.35</v>
      </c>
      <c r="F30" s="8">
        <v>10.72</v>
      </c>
      <c r="G30" s="7">
        <v>2.73</v>
      </c>
      <c r="H30" s="7">
        <v>1.5</v>
      </c>
      <c r="I30" s="7">
        <v>4.86</v>
      </c>
      <c r="J30" s="9">
        <v>0.0483</v>
      </c>
      <c r="K30" s="9">
        <v>0.0605</v>
      </c>
      <c r="L30" s="9">
        <v>0.0427</v>
      </c>
      <c r="M30" s="9">
        <v>0.1085</v>
      </c>
      <c r="N30" s="7">
        <v>2.11</v>
      </c>
      <c r="O30" s="7">
        <v>5.01</v>
      </c>
      <c r="P30" s="7">
        <v>4.75</v>
      </c>
      <c r="Q30" s="7">
        <v>4.67</v>
      </c>
      <c r="R30" s="7">
        <v>6.71</v>
      </c>
      <c r="S30" s="7">
        <v>0.47354</v>
      </c>
      <c r="T30" s="7">
        <v>0.37438</v>
      </c>
      <c r="U30" s="7">
        <v>0.39784</v>
      </c>
      <c r="V30" s="7">
        <v>0.98581</v>
      </c>
      <c r="W30" s="7" t="s">
        <v>43</v>
      </c>
      <c r="X30" s="7" t="s">
        <v>43</v>
      </c>
      <c r="Y30" s="7" t="s">
        <v>41</v>
      </c>
      <c r="Z30" s="7" t="s">
        <v>41</v>
      </c>
      <c r="AA30" s="7" t="s">
        <v>59</v>
      </c>
      <c r="AB30" s="7" t="s">
        <v>114</v>
      </c>
      <c r="AC30" s="7" t="s">
        <v>41</v>
      </c>
      <c r="AD30" s="7" t="s">
        <v>41</v>
      </c>
      <c r="AE30" s="7" t="s">
        <v>41</v>
      </c>
      <c r="AF30" s="7" t="s">
        <v>41</v>
      </c>
      <c r="AG30" s="7" t="s">
        <v>41</v>
      </c>
    </row>
    <row r="31">
      <c r="A31" s="7" t="s">
        <v>131</v>
      </c>
      <c r="B31" s="7" t="s">
        <v>132</v>
      </c>
      <c r="C31" s="7" t="s">
        <v>133</v>
      </c>
      <c r="D31" s="7" t="s">
        <v>33</v>
      </c>
      <c r="E31" s="8">
        <v>11.8</v>
      </c>
      <c r="F31" s="8">
        <v>28.05</v>
      </c>
      <c r="G31" s="7">
        <v>3.55</v>
      </c>
      <c r="H31" s="7">
        <v>0.394</v>
      </c>
      <c r="I31" s="7">
        <v>16.65</v>
      </c>
      <c r="J31" s="9">
        <v>0.0442</v>
      </c>
      <c r="K31" s="9">
        <v>0.0684</v>
      </c>
      <c r="L31" s="9">
        <v>0.0582</v>
      </c>
      <c r="M31" s="9">
        <v>0.1124</v>
      </c>
      <c r="N31" s="7">
        <v>1.71</v>
      </c>
      <c r="O31" s="7">
        <v>1.25</v>
      </c>
      <c r="P31" s="7">
        <v>1.25</v>
      </c>
      <c r="Q31" s="7">
        <v>1.19</v>
      </c>
      <c r="R31" s="7">
        <v>1.23</v>
      </c>
      <c r="S31" s="7">
        <v>0.6393</v>
      </c>
      <c r="T31" s="7">
        <v>0.7025</v>
      </c>
      <c r="U31" s="7">
        <v>0.6535</v>
      </c>
      <c r="V31" s="7">
        <v>0.67</v>
      </c>
      <c r="W31" s="7" t="s">
        <v>59</v>
      </c>
      <c r="X31" s="7" t="s">
        <v>52</v>
      </c>
      <c r="Y31" s="7" t="s">
        <v>41</v>
      </c>
      <c r="Z31" s="7" t="s">
        <v>41</v>
      </c>
      <c r="AA31" s="7" t="s">
        <v>59</v>
      </c>
      <c r="AB31" s="7" t="s">
        <v>52</v>
      </c>
      <c r="AC31" s="7">
        <v>23.0</v>
      </c>
      <c r="AD31" s="7">
        <v>10.6</v>
      </c>
      <c r="AE31" s="7">
        <v>8.7</v>
      </c>
      <c r="AF31" s="7">
        <v>3.8</v>
      </c>
      <c r="AG31" s="7">
        <v>1.0</v>
      </c>
    </row>
    <row r="32">
      <c r="A32" s="7" t="s">
        <v>134</v>
      </c>
      <c r="B32" s="7" t="s">
        <v>135</v>
      </c>
      <c r="C32" s="7" t="s">
        <v>136</v>
      </c>
      <c r="D32" s="7" t="s">
        <v>40</v>
      </c>
      <c r="E32" s="8">
        <v>6.31</v>
      </c>
      <c r="F32" s="8">
        <v>90.27</v>
      </c>
      <c r="G32" s="7">
        <v>30.43</v>
      </c>
      <c r="H32" s="7">
        <v>1.64</v>
      </c>
      <c r="I32" s="7">
        <v>16.93</v>
      </c>
      <c r="J32" s="7" t="s">
        <v>51</v>
      </c>
      <c r="K32" s="9">
        <v>0.1315</v>
      </c>
      <c r="L32" s="9">
        <v>0.0767</v>
      </c>
      <c r="M32" s="9">
        <v>0.2057</v>
      </c>
      <c r="N32" s="7">
        <v>5.48</v>
      </c>
      <c r="O32" s="7">
        <v>21.34</v>
      </c>
      <c r="P32" s="7">
        <v>23.89</v>
      </c>
      <c r="Q32" s="7">
        <v>23.83</v>
      </c>
      <c r="R32" s="7">
        <v>27.75</v>
      </c>
      <c r="S32" s="7" t="s">
        <v>41</v>
      </c>
      <c r="T32" s="7" t="s">
        <v>41</v>
      </c>
      <c r="U32" s="7" t="s">
        <v>41</v>
      </c>
      <c r="V32" s="7" t="s">
        <v>41</v>
      </c>
      <c r="W32" s="7" t="s">
        <v>42</v>
      </c>
      <c r="X32" s="7" t="s">
        <v>43</v>
      </c>
      <c r="Y32" s="7" t="s">
        <v>41</v>
      </c>
      <c r="Z32" s="7" t="s">
        <v>41</v>
      </c>
      <c r="AA32" s="7" t="s">
        <v>41</v>
      </c>
      <c r="AB32" s="7" t="s">
        <v>41</v>
      </c>
      <c r="AC32" s="7">
        <v>7.0</v>
      </c>
      <c r="AD32" s="7">
        <v>1.3</v>
      </c>
      <c r="AE32" s="7">
        <v>2.5</v>
      </c>
      <c r="AF32" s="7">
        <v>3.2</v>
      </c>
      <c r="AG32" s="7">
        <v>1.0</v>
      </c>
    </row>
    <row r="33">
      <c r="A33" s="7" t="s">
        <v>137</v>
      </c>
      <c r="B33" s="7" t="s">
        <v>138</v>
      </c>
      <c r="C33" s="7" t="s">
        <v>139</v>
      </c>
      <c r="D33" s="7" t="s">
        <v>40</v>
      </c>
      <c r="E33" s="8">
        <v>0.47</v>
      </c>
      <c r="F33" s="8">
        <v>108.97</v>
      </c>
      <c r="G33" s="7">
        <v>144.46</v>
      </c>
      <c r="H33" s="7">
        <v>6.76</v>
      </c>
      <c r="I33" s="7">
        <v>29.67</v>
      </c>
      <c r="J33" s="9">
        <v>0.0232</v>
      </c>
      <c r="K33" s="9">
        <v>0.0536</v>
      </c>
      <c r="L33" s="9">
        <v>0.0477</v>
      </c>
      <c r="M33" s="9">
        <v>0.0879</v>
      </c>
      <c r="N33" s="7">
        <v>2.6</v>
      </c>
      <c r="O33" s="7">
        <v>29.95</v>
      </c>
      <c r="P33" s="7">
        <v>30.56</v>
      </c>
      <c r="Q33" s="7">
        <v>28.91</v>
      </c>
      <c r="R33" s="7">
        <v>30.12</v>
      </c>
      <c r="S33" s="7">
        <v>9.29</v>
      </c>
      <c r="T33" s="7">
        <v>9.76</v>
      </c>
      <c r="U33" s="7">
        <v>8.28</v>
      </c>
      <c r="V33" s="7">
        <v>8.24</v>
      </c>
      <c r="W33" s="7" t="s">
        <v>43</v>
      </c>
      <c r="X33" s="7" t="s">
        <v>43</v>
      </c>
      <c r="Y33" s="7" t="s">
        <v>41</v>
      </c>
      <c r="Z33" s="7" t="s">
        <v>41</v>
      </c>
      <c r="AA33" s="7" t="s">
        <v>42</v>
      </c>
      <c r="AB33" s="7" t="s">
        <v>42</v>
      </c>
      <c r="AC33" s="7">
        <v>23.0</v>
      </c>
      <c r="AD33" s="7">
        <v>2.3</v>
      </c>
      <c r="AE33" s="7">
        <v>13.4</v>
      </c>
      <c r="AF33" s="7">
        <v>7.7</v>
      </c>
      <c r="AG33" s="7">
        <v>3.0</v>
      </c>
    </row>
    <row r="34">
      <c r="A34" s="7" t="s">
        <v>140</v>
      </c>
      <c r="B34" s="7" t="s">
        <v>141</v>
      </c>
      <c r="C34" s="7" t="s">
        <v>142</v>
      </c>
      <c r="D34" s="7" t="s">
        <v>33</v>
      </c>
      <c r="E34" s="8">
        <v>23.21</v>
      </c>
      <c r="F34" s="8">
        <v>54.44</v>
      </c>
      <c r="G34" s="7">
        <v>108.44</v>
      </c>
      <c r="H34" s="7">
        <v>2.1</v>
      </c>
      <c r="I34" s="7">
        <v>26.0</v>
      </c>
      <c r="J34" s="9">
        <v>0.0092</v>
      </c>
      <c r="K34" s="9">
        <v>0.0317</v>
      </c>
      <c r="L34" s="9">
        <v>0.0258</v>
      </c>
      <c r="M34" s="9">
        <v>0.0697</v>
      </c>
      <c r="N34" s="7">
        <v>2.11</v>
      </c>
      <c r="O34" s="7">
        <v>54.619</v>
      </c>
      <c r="P34" s="7">
        <v>52.329</v>
      </c>
      <c r="Q34" s="7">
        <v>46.881</v>
      </c>
      <c r="R34" s="7">
        <v>54.304</v>
      </c>
      <c r="S34" s="7">
        <v>22.08</v>
      </c>
      <c r="T34" s="7">
        <v>21.078</v>
      </c>
      <c r="U34" s="7">
        <v>17.321</v>
      </c>
      <c r="V34" s="7">
        <v>19.209</v>
      </c>
      <c r="W34" s="7" t="s">
        <v>34</v>
      </c>
      <c r="X34" s="7" t="s">
        <v>35</v>
      </c>
      <c r="Y34" s="7" t="s">
        <v>41</v>
      </c>
      <c r="Z34" s="7" t="s">
        <v>41</v>
      </c>
      <c r="AA34" s="7" t="s">
        <v>34</v>
      </c>
      <c r="AB34" s="7" t="s">
        <v>34</v>
      </c>
      <c r="AC34" s="7">
        <v>21.0</v>
      </c>
      <c r="AD34" s="7">
        <v>5.9</v>
      </c>
      <c r="AE34" s="7">
        <v>7.7</v>
      </c>
      <c r="AF34" s="7">
        <v>7.5</v>
      </c>
      <c r="AG34" s="7">
        <v>3.0</v>
      </c>
    </row>
    <row r="35">
      <c r="A35" s="7" t="s">
        <v>143</v>
      </c>
      <c r="B35" s="7" t="s">
        <v>144</v>
      </c>
      <c r="C35" s="7" t="s">
        <v>145</v>
      </c>
      <c r="D35" s="7" t="s">
        <v>146</v>
      </c>
      <c r="E35" s="8">
        <v>10700.0</v>
      </c>
      <c r="F35" s="8">
        <v>21340.0</v>
      </c>
      <c r="G35" s="7">
        <v>4216.0</v>
      </c>
      <c r="H35" s="7">
        <v>8.12E-4</v>
      </c>
      <c r="I35" s="7">
        <v>26.78</v>
      </c>
      <c r="J35" s="9">
        <v>0.0236</v>
      </c>
      <c r="K35" s="9">
        <v>0.0871</v>
      </c>
      <c r="L35" s="9">
        <v>0.0795</v>
      </c>
      <c r="M35" s="9">
        <v>0.0902</v>
      </c>
      <c r="N35" s="7">
        <v>490.1</v>
      </c>
      <c r="O35" s="7">
        <v>726.6</v>
      </c>
      <c r="P35" s="7">
        <v>635.57</v>
      </c>
      <c r="Q35" s="7">
        <v>508.25</v>
      </c>
      <c r="R35" s="7">
        <v>551.29</v>
      </c>
      <c r="S35" s="7">
        <v>263.79</v>
      </c>
      <c r="T35" s="7">
        <v>203.01</v>
      </c>
      <c r="U35" s="7">
        <v>134.26</v>
      </c>
      <c r="V35" s="7">
        <v>157.62</v>
      </c>
      <c r="W35" s="7" t="s">
        <v>43</v>
      </c>
      <c r="X35" s="7" t="s">
        <v>43</v>
      </c>
      <c r="Y35" s="7" t="s">
        <v>41</v>
      </c>
      <c r="Z35" s="7" t="s">
        <v>41</v>
      </c>
      <c r="AA35" s="7" t="s">
        <v>43</v>
      </c>
      <c r="AB35" s="7" t="s">
        <v>43</v>
      </c>
      <c r="AC35" s="7">
        <v>26.0</v>
      </c>
      <c r="AD35" s="7">
        <v>7.4</v>
      </c>
      <c r="AE35" s="7">
        <v>10.6</v>
      </c>
      <c r="AF35" s="7">
        <v>7.9</v>
      </c>
      <c r="AG35" s="7">
        <v>1.0</v>
      </c>
    </row>
    <row r="36">
      <c r="A36" s="7" t="s">
        <v>147</v>
      </c>
      <c r="B36" s="7" t="s">
        <v>148</v>
      </c>
      <c r="C36" s="7" t="s">
        <v>149</v>
      </c>
      <c r="D36" s="7" t="s">
        <v>33</v>
      </c>
      <c r="E36" s="8">
        <v>19.1</v>
      </c>
      <c r="F36" s="8">
        <v>9.9</v>
      </c>
      <c r="G36" s="7">
        <v>1.99</v>
      </c>
      <c r="H36" s="7">
        <v>0.6596</v>
      </c>
      <c r="I36" s="7" t="s">
        <v>41</v>
      </c>
      <c r="J36" s="9">
        <v>0.0107</v>
      </c>
      <c r="K36" s="9">
        <v>0.0081</v>
      </c>
      <c r="L36" s="9">
        <v>0.0076</v>
      </c>
      <c r="M36" s="9">
        <v>0.0129</v>
      </c>
      <c r="N36" s="7">
        <v>-1.53</v>
      </c>
      <c r="O36" s="7">
        <v>0.6</v>
      </c>
      <c r="P36" s="7">
        <v>0.932</v>
      </c>
      <c r="Q36" s="7">
        <v>1.231</v>
      </c>
      <c r="R36" s="7">
        <v>0.42</v>
      </c>
      <c r="S36" s="7">
        <v>0.18</v>
      </c>
      <c r="T36" s="7">
        <v>0.515</v>
      </c>
      <c r="U36" s="7">
        <v>0.831</v>
      </c>
      <c r="V36" s="7">
        <v>0.0484</v>
      </c>
      <c r="W36" s="7" t="s">
        <v>43</v>
      </c>
      <c r="X36" s="7" t="s">
        <v>43</v>
      </c>
      <c r="Y36" s="7" t="s">
        <v>41</v>
      </c>
      <c r="Z36" s="7" t="s">
        <v>41</v>
      </c>
      <c r="AA36" s="7" t="s">
        <v>41</v>
      </c>
      <c r="AB36" s="7" t="s">
        <v>41</v>
      </c>
      <c r="AC36" s="7" t="s">
        <v>41</v>
      </c>
      <c r="AD36" s="7" t="s">
        <v>41</v>
      </c>
      <c r="AE36" s="7" t="s">
        <v>41</v>
      </c>
      <c r="AF36" s="7" t="s">
        <v>41</v>
      </c>
      <c r="AG36" s="7" t="s">
        <v>41</v>
      </c>
    </row>
    <row r="37">
      <c r="A37" s="7" t="s">
        <v>150</v>
      </c>
      <c r="B37" s="7" t="s">
        <v>151</v>
      </c>
      <c r="C37" s="7" t="s">
        <v>152</v>
      </c>
      <c r="D37" s="7" t="s">
        <v>33</v>
      </c>
      <c r="E37" s="8">
        <v>167.5</v>
      </c>
      <c r="F37" s="8">
        <v>10.69</v>
      </c>
      <c r="G37" s="7">
        <v>28.34</v>
      </c>
      <c r="H37" s="7">
        <v>9.43</v>
      </c>
      <c r="I37" s="7">
        <v>3554.0</v>
      </c>
      <c r="J37" s="9">
        <v>0.0658</v>
      </c>
      <c r="K37" s="9">
        <v>0.0375</v>
      </c>
      <c r="L37" s="9">
        <v>0.026</v>
      </c>
      <c r="M37" s="9">
        <v>0.066</v>
      </c>
      <c r="N37" s="7" t="s">
        <v>41</v>
      </c>
      <c r="O37" s="7">
        <v>41.38</v>
      </c>
      <c r="P37" s="7">
        <v>42.24</v>
      </c>
      <c r="Q37" s="7">
        <v>42.27</v>
      </c>
      <c r="R37" s="7">
        <v>42.52</v>
      </c>
      <c r="S37" s="7">
        <v>11.59</v>
      </c>
      <c r="T37" s="7">
        <v>13.6</v>
      </c>
      <c r="U37" s="7">
        <v>13.64</v>
      </c>
      <c r="V37" s="7">
        <v>12.31</v>
      </c>
      <c r="W37" s="7" t="s">
        <v>43</v>
      </c>
      <c r="X37" s="7" t="s">
        <v>35</v>
      </c>
      <c r="Y37" s="7" t="s">
        <v>41</v>
      </c>
      <c r="Z37" s="7" t="s">
        <v>41</v>
      </c>
      <c r="AA37" s="7" t="s">
        <v>41</v>
      </c>
      <c r="AB37" s="7" t="s">
        <v>41</v>
      </c>
      <c r="AC37" s="7">
        <v>18.0</v>
      </c>
      <c r="AD37" s="7">
        <v>1.7</v>
      </c>
      <c r="AE37" s="7">
        <v>8.7</v>
      </c>
      <c r="AF37" s="7">
        <v>7.3</v>
      </c>
      <c r="AG37" s="7">
        <v>3.0</v>
      </c>
    </row>
    <row r="38">
      <c r="A38" s="7" t="s">
        <v>153</v>
      </c>
      <c r="B38" s="7" t="s">
        <v>154</v>
      </c>
      <c r="C38" s="7" t="s">
        <v>155</v>
      </c>
      <c r="D38" s="7" t="s">
        <v>40</v>
      </c>
      <c r="E38" s="8">
        <v>2.33</v>
      </c>
      <c r="F38" s="8">
        <v>546.76</v>
      </c>
      <c r="G38" s="7">
        <v>75.73</v>
      </c>
      <c r="H38" s="7">
        <v>1.49</v>
      </c>
      <c r="I38" s="7">
        <v>16.92</v>
      </c>
      <c r="J38" s="9">
        <v>0.011</v>
      </c>
      <c r="K38" s="9">
        <v>0.2572</v>
      </c>
      <c r="L38" s="9">
        <v>0.1996</v>
      </c>
      <c r="M38" s="9">
        <v>0.4472</v>
      </c>
      <c r="N38" s="7">
        <v>27.22</v>
      </c>
      <c r="O38" s="7">
        <v>11.09</v>
      </c>
      <c r="P38" s="7">
        <v>9.64</v>
      </c>
      <c r="Q38" s="7">
        <v>10.04</v>
      </c>
      <c r="R38" s="7">
        <v>14.63</v>
      </c>
      <c r="S38" s="7">
        <v>3.55</v>
      </c>
      <c r="T38" s="7">
        <v>2.77</v>
      </c>
      <c r="U38" s="7">
        <v>2.94</v>
      </c>
      <c r="V38" s="7">
        <v>4.78</v>
      </c>
      <c r="W38" s="7" t="s">
        <v>43</v>
      </c>
      <c r="X38" s="7" t="s">
        <v>43</v>
      </c>
      <c r="Y38" s="7" t="s">
        <v>41</v>
      </c>
      <c r="Z38" s="7" t="s">
        <v>41</v>
      </c>
      <c r="AA38" s="7" t="s">
        <v>43</v>
      </c>
      <c r="AB38" s="7" t="s">
        <v>43</v>
      </c>
      <c r="AC38" s="7">
        <v>15.0</v>
      </c>
      <c r="AD38" s="7">
        <v>5.1</v>
      </c>
      <c r="AE38" s="7">
        <v>4.5</v>
      </c>
      <c r="AF38" s="7">
        <v>5.3</v>
      </c>
      <c r="AG38" s="7">
        <v>1.0</v>
      </c>
    </row>
    <row r="39">
      <c r="A39" s="7" t="s">
        <v>156</v>
      </c>
      <c r="B39" s="7" t="s">
        <v>157</v>
      </c>
      <c r="C39" s="7" t="s">
        <v>158</v>
      </c>
      <c r="D39" s="7" t="s">
        <v>33</v>
      </c>
      <c r="E39" s="8">
        <v>13.56</v>
      </c>
      <c r="F39" s="8">
        <v>18.82</v>
      </c>
      <c r="G39" s="7">
        <v>29.73</v>
      </c>
      <c r="H39" s="7">
        <v>6.09</v>
      </c>
      <c r="I39" s="7">
        <v>10.61</v>
      </c>
      <c r="J39" s="9">
        <v>0.0785</v>
      </c>
      <c r="K39" s="7" t="s">
        <v>51</v>
      </c>
      <c r="L39" s="9">
        <v>0.0047</v>
      </c>
      <c r="M39" s="9">
        <v>0.0842</v>
      </c>
      <c r="N39" s="7">
        <v>1.81</v>
      </c>
      <c r="O39" s="7">
        <v>78.07</v>
      </c>
      <c r="P39" s="7">
        <v>81.91</v>
      </c>
      <c r="Q39" s="7">
        <v>78.93</v>
      </c>
      <c r="R39" s="7">
        <v>97.2</v>
      </c>
      <c r="S39" s="7" t="s">
        <v>41</v>
      </c>
      <c r="T39" s="7" t="s">
        <v>41</v>
      </c>
      <c r="U39" s="7" t="s">
        <v>41</v>
      </c>
      <c r="V39" s="7" t="s">
        <v>41</v>
      </c>
      <c r="W39" s="7" t="s">
        <v>35</v>
      </c>
      <c r="X39" s="7" t="s">
        <v>43</v>
      </c>
      <c r="Y39" s="7" t="s">
        <v>41</v>
      </c>
      <c r="Z39" s="7" t="s">
        <v>41</v>
      </c>
      <c r="AA39" s="7" t="s">
        <v>41</v>
      </c>
      <c r="AB39" s="7" t="s">
        <v>41</v>
      </c>
      <c r="AC39" s="7">
        <v>16.0</v>
      </c>
      <c r="AD39" s="7">
        <v>1.0</v>
      </c>
      <c r="AE39" s="7">
        <v>4.0</v>
      </c>
      <c r="AF39" s="7">
        <v>10.8</v>
      </c>
      <c r="AG39" s="7">
        <v>2.0</v>
      </c>
    </row>
    <row r="40">
      <c r="A40" s="7" t="s">
        <v>159</v>
      </c>
      <c r="B40" s="7" t="s">
        <v>160</v>
      </c>
      <c r="C40" s="7" t="s">
        <v>161</v>
      </c>
      <c r="D40" s="7" t="s">
        <v>33</v>
      </c>
      <c r="E40" s="8">
        <v>31.8</v>
      </c>
      <c r="F40" s="8">
        <v>163.65</v>
      </c>
      <c r="G40" s="7">
        <v>29.23</v>
      </c>
      <c r="H40" s="7">
        <v>0.5657</v>
      </c>
      <c r="I40" s="7">
        <v>24.19</v>
      </c>
      <c r="J40" s="9">
        <v>0.0196</v>
      </c>
      <c r="K40" s="9">
        <v>0.0663</v>
      </c>
      <c r="L40" s="9">
        <v>0.0066</v>
      </c>
      <c r="M40" s="9">
        <v>0.1821</v>
      </c>
      <c r="N40" s="7">
        <v>6.59</v>
      </c>
      <c r="O40" s="7">
        <v>3.36</v>
      </c>
      <c r="P40" s="7">
        <v>3.52</v>
      </c>
      <c r="Q40" s="7">
        <v>4.0</v>
      </c>
      <c r="R40" s="7">
        <v>4.63</v>
      </c>
      <c r="S40" s="7">
        <v>1.679</v>
      </c>
      <c r="T40" s="7">
        <v>1.813</v>
      </c>
      <c r="U40" s="7">
        <v>2.025</v>
      </c>
      <c r="V40" s="7">
        <v>2.043</v>
      </c>
      <c r="W40" s="7" t="s">
        <v>43</v>
      </c>
      <c r="X40" s="7" t="s">
        <v>43</v>
      </c>
      <c r="Y40" s="7" t="s">
        <v>41</v>
      </c>
      <c r="Z40" s="7" t="s">
        <v>41</v>
      </c>
      <c r="AA40" s="7" t="s">
        <v>41</v>
      </c>
      <c r="AB40" s="7" t="s">
        <v>41</v>
      </c>
      <c r="AC40" s="7">
        <v>14.0</v>
      </c>
      <c r="AD40" s="7">
        <v>1.7</v>
      </c>
      <c r="AE40" s="7">
        <v>4.5</v>
      </c>
      <c r="AF40" s="7">
        <v>7.8</v>
      </c>
      <c r="AG40" s="7">
        <v>2.0</v>
      </c>
    </row>
    <row r="41">
      <c r="A41" s="7" t="s">
        <v>162</v>
      </c>
      <c r="B41" s="7" t="s">
        <v>163</v>
      </c>
      <c r="C41" s="7" t="s">
        <v>164</v>
      </c>
      <c r="D41" s="7" t="s">
        <v>40</v>
      </c>
      <c r="E41" s="8">
        <v>9.25</v>
      </c>
      <c r="F41" s="8">
        <v>95.69</v>
      </c>
      <c r="G41" s="7">
        <v>17.76</v>
      </c>
      <c r="H41" s="7">
        <v>1.16</v>
      </c>
      <c r="I41" s="7">
        <v>32.39</v>
      </c>
      <c r="J41" s="9">
        <v>0.0053</v>
      </c>
      <c r="K41" s="9">
        <v>0.0355</v>
      </c>
      <c r="L41" s="9">
        <v>0.0288</v>
      </c>
      <c r="M41" s="9">
        <v>0.0585</v>
      </c>
      <c r="N41" s="7">
        <v>2.96</v>
      </c>
      <c r="O41" s="7">
        <v>4.36</v>
      </c>
      <c r="P41" s="7">
        <v>8.2</v>
      </c>
      <c r="Q41" s="7">
        <v>7.56</v>
      </c>
      <c r="R41" s="7">
        <v>7.82</v>
      </c>
      <c r="S41" s="7">
        <v>0.65993</v>
      </c>
      <c r="T41" s="7">
        <v>1.33</v>
      </c>
      <c r="U41" s="7">
        <v>1.33</v>
      </c>
      <c r="V41" s="7">
        <v>1.45</v>
      </c>
      <c r="W41" s="7" t="s">
        <v>55</v>
      </c>
      <c r="X41" s="7" t="s">
        <v>43</v>
      </c>
      <c r="Y41" s="7" t="s">
        <v>41</v>
      </c>
      <c r="Z41" s="7" t="s">
        <v>41</v>
      </c>
      <c r="AA41" s="7" t="s">
        <v>41</v>
      </c>
      <c r="AB41" s="7" t="s">
        <v>41</v>
      </c>
      <c r="AC41" s="7">
        <v>32.0</v>
      </c>
      <c r="AD41" s="7">
        <v>10.4</v>
      </c>
      <c r="AE41" s="7">
        <v>14.1</v>
      </c>
      <c r="AF41" s="7">
        <v>7.7</v>
      </c>
      <c r="AG41" s="7">
        <v>1.0</v>
      </c>
    </row>
    <row r="42">
      <c r="A42" s="7" t="s">
        <v>165</v>
      </c>
      <c r="B42" s="7" t="s">
        <v>166</v>
      </c>
      <c r="C42" s="7" t="s">
        <v>167</v>
      </c>
      <c r="D42" s="7" t="s">
        <v>146</v>
      </c>
      <c r="E42" s="8">
        <v>486.0</v>
      </c>
      <c r="F42" s="8">
        <v>2925.5</v>
      </c>
      <c r="G42" s="7">
        <v>2830.0</v>
      </c>
      <c r="H42" s="7">
        <v>3.296</v>
      </c>
      <c r="I42" s="7">
        <v>14.46</v>
      </c>
      <c r="J42" s="9">
        <v>0.0279</v>
      </c>
      <c r="K42" s="9">
        <v>0.0766</v>
      </c>
      <c r="L42" s="9">
        <v>0.0526</v>
      </c>
      <c r="M42" s="9">
        <v>0.0967</v>
      </c>
      <c r="N42" s="7">
        <v>112.52</v>
      </c>
      <c r="O42" s="7">
        <v>2500.0</v>
      </c>
      <c r="P42" s="7">
        <v>2730.0</v>
      </c>
      <c r="Q42" s="7">
        <v>2440.0</v>
      </c>
      <c r="R42" s="7">
        <v>2190.0</v>
      </c>
      <c r="S42" s="7">
        <v>433.93</v>
      </c>
      <c r="T42" s="7">
        <v>530.91</v>
      </c>
      <c r="U42" s="7">
        <v>385.45</v>
      </c>
      <c r="V42" s="7">
        <v>304.05</v>
      </c>
      <c r="W42" s="7" t="s">
        <v>34</v>
      </c>
      <c r="X42" s="7" t="s">
        <v>34</v>
      </c>
      <c r="Y42" s="7" t="s">
        <v>41</v>
      </c>
      <c r="Z42" s="7" t="s">
        <v>41</v>
      </c>
      <c r="AA42" s="7" t="s">
        <v>34</v>
      </c>
      <c r="AB42" s="7" t="s">
        <v>34</v>
      </c>
      <c r="AC42" s="7">
        <v>26.0</v>
      </c>
      <c r="AD42" s="7">
        <v>5.3</v>
      </c>
      <c r="AE42" s="7">
        <v>11.5</v>
      </c>
      <c r="AF42" s="7">
        <v>8.9</v>
      </c>
      <c r="AG42" s="7">
        <v>2.0</v>
      </c>
    </row>
    <row r="43">
      <c r="A43" s="7" t="s">
        <v>168</v>
      </c>
      <c r="B43" s="7" t="s">
        <v>169</v>
      </c>
      <c r="C43" s="7" t="s">
        <v>170</v>
      </c>
      <c r="D43" s="7" t="s">
        <v>33</v>
      </c>
      <c r="E43" s="8">
        <v>15.42</v>
      </c>
      <c r="F43" s="8">
        <v>8.36</v>
      </c>
      <c r="G43" s="7">
        <v>0.369</v>
      </c>
      <c r="H43" s="7">
        <v>0.1485</v>
      </c>
      <c r="I43" s="7">
        <v>10.06</v>
      </c>
      <c r="J43" s="7" t="s">
        <v>41</v>
      </c>
      <c r="K43" s="9">
        <v>0.0479</v>
      </c>
      <c r="L43" s="9">
        <v>0.038</v>
      </c>
      <c r="M43" s="9">
        <v>0.11</v>
      </c>
      <c r="N43" s="7">
        <v>0.81</v>
      </c>
      <c r="O43" s="7">
        <v>1.3</v>
      </c>
      <c r="P43" s="7">
        <v>1.28</v>
      </c>
      <c r="Q43" s="7">
        <v>0.95952</v>
      </c>
      <c r="R43" s="7">
        <v>1.25</v>
      </c>
      <c r="S43" s="7">
        <v>0.10507</v>
      </c>
      <c r="T43" s="7">
        <v>0.11034</v>
      </c>
      <c r="U43" s="7">
        <v>0.09519</v>
      </c>
      <c r="V43" s="7">
        <v>0.12156</v>
      </c>
      <c r="W43" s="7" t="s">
        <v>36</v>
      </c>
      <c r="X43" s="7" t="s">
        <v>114</v>
      </c>
      <c r="Y43" s="7" t="s">
        <v>41</v>
      </c>
      <c r="Z43" s="7" t="s">
        <v>41</v>
      </c>
      <c r="AA43" s="7" t="s">
        <v>41</v>
      </c>
      <c r="AB43" s="7" t="s">
        <v>41</v>
      </c>
      <c r="AC43" s="7" t="s">
        <v>41</v>
      </c>
      <c r="AD43" s="7" t="s">
        <v>41</v>
      </c>
      <c r="AE43" s="7" t="s">
        <v>41</v>
      </c>
      <c r="AF43" s="7" t="s">
        <v>41</v>
      </c>
      <c r="AG43" s="7" t="s">
        <v>41</v>
      </c>
    </row>
    <row r="44">
      <c r="A44" s="7" t="s">
        <v>171</v>
      </c>
      <c r="B44" s="7" t="s">
        <v>172</v>
      </c>
      <c r="C44" s="7" t="s">
        <v>173</v>
      </c>
      <c r="D44" s="7" t="s">
        <v>124</v>
      </c>
      <c r="E44" s="8">
        <v>609.85</v>
      </c>
      <c r="F44" s="8">
        <v>9574.0</v>
      </c>
      <c r="G44" s="7">
        <v>150.761</v>
      </c>
      <c r="H44" s="7">
        <v>2.584</v>
      </c>
      <c r="I44" s="7">
        <v>1621.67</v>
      </c>
      <c r="J44" s="9">
        <v>0.0219</v>
      </c>
      <c r="K44" s="9">
        <v>0.0366</v>
      </c>
      <c r="L44" s="9">
        <v>0.0262</v>
      </c>
      <c r="M44" s="9">
        <v>0.1103</v>
      </c>
      <c r="N44" s="7">
        <v>0.06</v>
      </c>
      <c r="O44" s="7">
        <v>22.09</v>
      </c>
      <c r="P44" s="7">
        <v>24.384</v>
      </c>
      <c r="Q44" s="7">
        <v>26.617</v>
      </c>
      <c r="R44" s="7">
        <v>37.417</v>
      </c>
      <c r="S44" s="7">
        <v>7.14</v>
      </c>
      <c r="T44" s="7">
        <v>6.686</v>
      </c>
      <c r="U44" s="7">
        <v>8.311</v>
      </c>
      <c r="V44" s="7">
        <v>7.586</v>
      </c>
      <c r="W44" s="7" t="s">
        <v>34</v>
      </c>
      <c r="X44" s="7" t="s">
        <v>34</v>
      </c>
      <c r="Y44" s="7" t="s">
        <v>114</v>
      </c>
      <c r="Z44" s="7" t="s">
        <v>52</v>
      </c>
      <c r="AA44" s="7" t="s">
        <v>34</v>
      </c>
      <c r="AB44" s="7" t="s">
        <v>34</v>
      </c>
      <c r="AC44" s="7">
        <v>23.0</v>
      </c>
      <c r="AD44" s="7">
        <v>1.2</v>
      </c>
      <c r="AE44" s="7">
        <v>14.2</v>
      </c>
      <c r="AF44" s="7">
        <v>7.8</v>
      </c>
      <c r="AG44" s="7">
        <v>3.0</v>
      </c>
    </row>
    <row r="45">
      <c r="A45" s="7" t="s">
        <v>174</v>
      </c>
      <c r="B45" s="7" t="s">
        <v>175</v>
      </c>
      <c r="C45" s="7" t="s">
        <v>176</v>
      </c>
      <c r="D45" s="7" t="s">
        <v>40</v>
      </c>
      <c r="E45" s="8">
        <v>1.34</v>
      </c>
      <c r="F45" s="8">
        <v>121.89</v>
      </c>
      <c r="G45" s="7">
        <v>207.791</v>
      </c>
      <c r="H45" s="7">
        <v>6.22</v>
      </c>
      <c r="I45" s="7">
        <v>29.91</v>
      </c>
      <c r="J45" s="9">
        <v>0.0154</v>
      </c>
      <c r="K45" s="9">
        <v>0.0657</v>
      </c>
      <c r="L45" s="9">
        <v>0.0559</v>
      </c>
      <c r="M45" s="9">
        <v>0.1267</v>
      </c>
      <c r="N45" s="7">
        <v>3.98</v>
      </c>
      <c r="O45" s="7">
        <v>30.58</v>
      </c>
      <c r="P45" s="7">
        <v>31.9</v>
      </c>
      <c r="Q45" s="7">
        <v>34.61</v>
      </c>
      <c r="R45" s="7">
        <v>43.08</v>
      </c>
      <c r="S45" s="7">
        <v>7.12</v>
      </c>
      <c r="T45" s="7">
        <v>7.61</v>
      </c>
      <c r="U45" s="7">
        <v>8.62</v>
      </c>
      <c r="V45" s="7">
        <v>12.74</v>
      </c>
      <c r="W45" s="7" t="s">
        <v>43</v>
      </c>
      <c r="X45" s="7" t="s">
        <v>43</v>
      </c>
      <c r="Y45" s="7" t="s">
        <v>59</v>
      </c>
      <c r="Z45" s="7" t="s">
        <v>59</v>
      </c>
      <c r="AA45" s="7" t="s">
        <v>43</v>
      </c>
      <c r="AB45" s="7" t="s">
        <v>35</v>
      </c>
      <c r="AC45" s="7">
        <v>26.0</v>
      </c>
      <c r="AD45" s="7">
        <v>3.0</v>
      </c>
      <c r="AE45" s="7">
        <v>13.5</v>
      </c>
      <c r="AF45" s="7">
        <v>9.4</v>
      </c>
      <c r="AG45" s="7">
        <v>3.0</v>
      </c>
    </row>
    <row r="46">
      <c r="A46" s="7" t="s">
        <v>177</v>
      </c>
      <c r="B46" s="7" t="s">
        <v>178</v>
      </c>
      <c r="C46" s="7" t="s">
        <v>179</v>
      </c>
      <c r="D46" s="7" t="s">
        <v>33</v>
      </c>
      <c r="E46" s="8">
        <v>23.05</v>
      </c>
      <c r="F46" s="8">
        <v>45.91</v>
      </c>
      <c r="G46" s="7">
        <v>55.721</v>
      </c>
      <c r="H46" s="7">
        <v>3.262</v>
      </c>
      <c r="I46" s="7">
        <v>11.22</v>
      </c>
      <c r="J46" s="9">
        <v>0.0392</v>
      </c>
      <c r="K46" s="9">
        <v>0.1009</v>
      </c>
      <c r="L46" s="9">
        <v>0.0665</v>
      </c>
      <c r="M46" s="9">
        <v>0.2232</v>
      </c>
      <c r="N46" s="7">
        <v>4.1</v>
      </c>
      <c r="O46" s="7">
        <v>61.55</v>
      </c>
      <c r="P46" s="7">
        <v>63.43</v>
      </c>
      <c r="Q46" s="7">
        <v>66.72</v>
      </c>
      <c r="R46" s="7">
        <v>81.75</v>
      </c>
      <c r="S46" s="7">
        <v>5.31</v>
      </c>
      <c r="T46" s="7">
        <v>6.11</v>
      </c>
      <c r="U46" s="7">
        <v>7.37</v>
      </c>
      <c r="V46" s="7">
        <v>10.29</v>
      </c>
      <c r="W46" s="7" t="s">
        <v>43</v>
      </c>
      <c r="X46" s="7" t="s">
        <v>43</v>
      </c>
      <c r="Y46" s="7" t="s">
        <v>41</v>
      </c>
      <c r="Z46" s="7" t="s">
        <v>41</v>
      </c>
      <c r="AA46" s="7" t="s">
        <v>41</v>
      </c>
      <c r="AB46" s="7" t="s">
        <v>41</v>
      </c>
      <c r="AC46" s="7">
        <v>16.0</v>
      </c>
      <c r="AD46" s="7">
        <v>4.0</v>
      </c>
      <c r="AE46" s="7">
        <v>6.7</v>
      </c>
      <c r="AF46" s="7">
        <v>4.9</v>
      </c>
      <c r="AG46" s="7">
        <v>2.0</v>
      </c>
    </row>
    <row r="47">
      <c r="A47" s="7" t="s">
        <v>180</v>
      </c>
      <c r="B47" s="7" t="s">
        <v>181</v>
      </c>
      <c r="C47" s="7" t="s">
        <v>182</v>
      </c>
      <c r="D47" s="7" t="s">
        <v>33</v>
      </c>
      <c r="E47" s="8">
        <v>10.58</v>
      </c>
      <c r="F47" s="8">
        <v>32.56</v>
      </c>
      <c r="G47" s="7">
        <v>4.208</v>
      </c>
      <c r="H47" s="7">
        <v>0.257</v>
      </c>
      <c r="I47" s="7">
        <v>27.96</v>
      </c>
      <c r="J47" s="9">
        <v>0.0154</v>
      </c>
      <c r="K47" s="9">
        <v>-0.0101</v>
      </c>
      <c r="L47" s="9">
        <v>-0.0066</v>
      </c>
      <c r="M47" s="9">
        <v>-0.0119</v>
      </c>
      <c r="N47" s="7">
        <v>1.16</v>
      </c>
      <c r="O47" s="7">
        <v>2.57</v>
      </c>
      <c r="P47" s="7">
        <v>2.64</v>
      </c>
      <c r="Q47" s="7">
        <v>2.52</v>
      </c>
      <c r="R47" s="7">
        <v>2.96</v>
      </c>
      <c r="S47" s="7">
        <v>0.31973</v>
      </c>
      <c r="T47" s="7">
        <v>0.25255</v>
      </c>
      <c r="U47" s="7">
        <v>0.36463</v>
      </c>
      <c r="V47" s="7">
        <v>0.42716</v>
      </c>
      <c r="W47" s="7" t="s">
        <v>42</v>
      </c>
      <c r="X47" s="7" t="s">
        <v>52</v>
      </c>
      <c r="Y47" s="7" t="s">
        <v>59</v>
      </c>
      <c r="Z47" s="7" t="s">
        <v>59</v>
      </c>
      <c r="AA47" s="7" t="s">
        <v>41</v>
      </c>
      <c r="AB47" s="7" t="s">
        <v>41</v>
      </c>
      <c r="AC47" s="7" t="s">
        <v>41</v>
      </c>
      <c r="AD47" s="7" t="s">
        <v>41</v>
      </c>
      <c r="AE47" s="7" t="s">
        <v>41</v>
      </c>
      <c r="AF47" s="7" t="s">
        <v>41</v>
      </c>
      <c r="AG47" s="7" t="s">
        <v>41</v>
      </c>
    </row>
    <row r="48">
      <c r="A48" s="7" t="s">
        <v>183</v>
      </c>
      <c r="B48" s="7" t="s">
        <v>184</v>
      </c>
      <c r="C48" s="7" t="s">
        <v>185</v>
      </c>
      <c r="D48" s="7" t="s">
        <v>33</v>
      </c>
      <c r="E48" s="8">
        <v>6.2</v>
      </c>
      <c r="F48" s="8">
        <v>26.0</v>
      </c>
      <c r="G48" s="7">
        <v>61.465</v>
      </c>
      <c r="H48" s="7">
        <v>7.018</v>
      </c>
      <c r="I48" s="7">
        <v>11.08</v>
      </c>
      <c r="J48" s="9">
        <v>0.0592</v>
      </c>
      <c r="K48" s="7" t="s">
        <v>51</v>
      </c>
      <c r="L48" s="9">
        <v>0.0048</v>
      </c>
      <c r="M48" s="9">
        <v>0.061</v>
      </c>
      <c r="N48" s="7">
        <v>1.25</v>
      </c>
      <c r="O48" s="7">
        <v>117.1</v>
      </c>
      <c r="P48" s="7">
        <v>124.96</v>
      </c>
      <c r="Q48" s="7">
        <v>101.71</v>
      </c>
      <c r="R48" s="7">
        <v>100.52</v>
      </c>
      <c r="S48" s="7" t="s">
        <v>41</v>
      </c>
      <c r="T48" s="7" t="s">
        <v>41</v>
      </c>
      <c r="U48" s="7" t="s">
        <v>41</v>
      </c>
      <c r="V48" s="7" t="s">
        <v>41</v>
      </c>
      <c r="W48" s="7" t="s">
        <v>52</v>
      </c>
      <c r="X48" s="7" t="s">
        <v>35</v>
      </c>
      <c r="Y48" s="7" t="s">
        <v>41</v>
      </c>
      <c r="Z48" s="7" t="s">
        <v>41</v>
      </c>
      <c r="AA48" s="7" t="s">
        <v>41</v>
      </c>
      <c r="AB48" s="7" t="s">
        <v>41</v>
      </c>
      <c r="AC48" s="7">
        <v>13.0</v>
      </c>
      <c r="AD48" s="7">
        <v>0.6</v>
      </c>
      <c r="AE48" s="7">
        <v>4.8</v>
      </c>
      <c r="AF48" s="7">
        <v>7.8</v>
      </c>
      <c r="AG48" s="7">
        <v>2.0</v>
      </c>
    </row>
    <row r="49">
      <c r="A49" s="7" t="s">
        <v>186</v>
      </c>
      <c r="B49" s="7" t="s">
        <v>187</v>
      </c>
      <c r="C49" s="7" t="s">
        <v>188</v>
      </c>
      <c r="D49" s="7" t="s">
        <v>40</v>
      </c>
      <c r="E49" s="8">
        <v>20.86</v>
      </c>
      <c r="F49" s="8">
        <v>218.47</v>
      </c>
      <c r="G49" s="7">
        <v>465.234</v>
      </c>
      <c r="H49" s="7">
        <v>9.331</v>
      </c>
      <c r="I49" s="7">
        <v>35.59</v>
      </c>
      <c r="J49" s="9">
        <v>0.0069</v>
      </c>
      <c r="K49" s="9">
        <v>0.1725</v>
      </c>
      <c r="L49" s="9">
        <v>0.1435</v>
      </c>
      <c r="M49" s="9">
        <v>0.344</v>
      </c>
      <c r="N49" s="7">
        <v>5.64</v>
      </c>
      <c r="O49" s="7">
        <v>20.61</v>
      </c>
      <c r="P49" s="7">
        <v>22.98</v>
      </c>
      <c r="Q49" s="7">
        <v>21.85</v>
      </c>
      <c r="R49" s="7">
        <v>24.11</v>
      </c>
      <c r="S49" s="7">
        <v>14.17</v>
      </c>
      <c r="T49" s="7">
        <v>16.06</v>
      </c>
      <c r="U49" s="7">
        <v>14.88</v>
      </c>
      <c r="V49" s="7">
        <v>16.63</v>
      </c>
      <c r="W49" s="7" t="s">
        <v>35</v>
      </c>
      <c r="X49" s="7" t="s">
        <v>34</v>
      </c>
      <c r="Y49" s="7" t="s">
        <v>41</v>
      </c>
      <c r="Z49" s="7" t="s">
        <v>41</v>
      </c>
      <c r="AA49" s="7" t="s">
        <v>41</v>
      </c>
      <c r="AB49" s="7" t="s">
        <v>41</v>
      </c>
      <c r="AC49" s="7">
        <v>16.0</v>
      </c>
      <c r="AD49" s="7">
        <v>0.7</v>
      </c>
      <c r="AE49" s="7">
        <v>7.8</v>
      </c>
      <c r="AF49" s="7">
        <v>7.5</v>
      </c>
      <c r="AG49" s="7">
        <v>3.0</v>
      </c>
    </row>
    <row r="50">
      <c r="A50" s="7" t="s">
        <v>189</v>
      </c>
      <c r="B50" s="7" t="s">
        <v>190</v>
      </c>
      <c r="C50" s="7" t="s">
        <v>191</v>
      </c>
      <c r="D50" s="7" t="s">
        <v>124</v>
      </c>
      <c r="E50" s="8">
        <v>312.4</v>
      </c>
      <c r="F50" s="8">
        <v>779.6</v>
      </c>
      <c r="G50" s="7">
        <v>5.904</v>
      </c>
      <c r="H50" s="7">
        <v>2.449</v>
      </c>
      <c r="I50" s="7">
        <v>37.3</v>
      </c>
      <c r="J50" s="9">
        <v>0.0259</v>
      </c>
      <c r="K50" s="9">
        <v>0.0548</v>
      </c>
      <c r="L50" s="9">
        <v>0.0437</v>
      </c>
      <c r="M50" s="9">
        <v>0.0809</v>
      </c>
      <c r="N50" s="7">
        <v>0.21</v>
      </c>
      <c r="O50" s="7">
        <v>4.13</v>
      </c>
      <c r="P50" s="7">
        <v>3.87</v>
      </c>
      <c r="Q50" s="7">
        <v>3.4</v>
      </c>
      <c r="R50" s="7">
        <v>3.43</v>
      </c>
      <c r="S50" s="7">
        <v>0.93</v>
      </c>
      <c r="T50" s="7">
        <v>0.97</v>
      </c>
      <c r="U50" s="7">
        <v>0.78</v>
      </c>
      <c r="V50" s="7">
        <v>0.983</v>
      </c>
      <c r="W50" s="7" t="s">
        <v>43</v>
      </c>
      <c r="X50" s="7" t="s">
        <v>43</v>
      </c>
      <c r="Y50" s="7" t="s">
        <v>43</v>
      </c>
      <c r="Z50" s="7" t="s">
        <v>43</v>
      </c>
      <c r="AA50" s="7" t="s">
        <v>43</v>
      </c>
      <c r="AB50" s="7" t="s">
        <v>43</v>
      </c>
      <c r="AC50" s="7">
        <v>8.0</v>
      </c>
      <c r="AD50" s="7">
        <v>0.0</v>
      </c>
      <c r="AE50" s="7">
        <v>3.3</v>
      </c>
      <c r="AF50" s="7">
        <v>4.3</v>
      </c>
      <c r="AG50" s="7">
        <v>2.0</v>
      </c>
    </row>
    <row r="51">
      <c r="A51" s="7" t="s">
        <v>192</v>
      </c>
      <c r="B51" s="7" t="s">
        <v>193</v>
      </c>
      <c r="C51" s="7" t="s">
        <v>194</v>
      </c>
      <c r="D51" s="7" t="s">
        <v>33</v>
      </c>
      <c r="E51" s="8">
        <v>14.51</v>
      </c>
      <c r="F51" s="8">
        <v>5.2</v>
      </c>
      <c r="G51" s="7">
        <v>33.66</v>
      </c>
      <c r="H51" s="7">
        <v>26.465</v>
      </c>
      <c r="I51" s="7">
        <v>7.75</v>
      </c>
      <c r="J51" s="9">
        <v>0.0688</v>
      </c>
      <c r="K51" s="7" t="s">
        <v>51</v>
      </c>
      <c r="L51" s="9">
        <v>0.0072</v>
      </c>
      <c r="M51" s="9">
        <v>0.0858</v>
      </c>
      <c r="N51" s="7">
        <v>0.6</v>
      </c>
      <c r="O51" s="7">
        <v>29.99</v>
      </c>
      <c r="P51" s="7">
        <v>27.91</v>
      </c>
      <c r="Q51" s="7">
        <v>22.53</v>
      </c>
      <c r="R51" s="7">
        <v>23.19</v>
      </c>
      <c r="S51" s="7" t="s">
        <v>41</v>
      </c>
      <c r="T51" s="7" t="s">
        <v>41</v>
      </c>
      <c r="U51" s="7" t="s">
        <v>41</v>
      </c>
      <c r="V51" s="7" t="s">
        <v>41</v>
      </c>
      <c r="W51" s="7" t="s">
        <v>35</v>
      </c>
      <c r="X51" s="7" t="s">
        <v>43</v>
      </c>
      <c r="Y51" s="7" t="s">
        <v>41</v>
      </c>
      <c r="Z51" s="7" t="s">
        <v>41</v>
      </c>
      <c r="AA51" s="7" t="s">
        <v>41</v>
      </c>
      <c r="AB51" s="7" t="s">
        <v>41</v>
      </c>
      <c r="AC51" s="7">
        <v>22.0</v>
      </c>
      <c r="AD51" s="7">
        <v>1.2</v>
      </c>
      <c r="AE51" s="7">
        <v>10.3</v>
      </c>
      <c r="AF51" s="7">
        <v>11.0</v>
      </c>
      <c r="AG51" s="7">
        <v>3.0</v>
      </c>
    </row>
    <row r="52">
      <c r="A52" s="7" t="s">
        <v>195</v>
      </c>
      <c r="B52" s="7" t="s">
        <v>196</v>
      </c>
      <c r="C52" s="7" t="s">
        <v>197</v>
      </c>
      <c r="D52" s="7" t="s">
        <v>124</v>
      </c>
      <c r="E52" s="8">
        <v>299.84</v>
      </c>
      <c r="F52" s="8">
        <v>440.7</v>
      </c>
      <c r="G52" s="7">
        <v>16.117</v>
      </c>
      <c r="H52" s="7">
        <v>10.399</v>
      </c>
      <c r="I52" s="7">
        <v>8.78</v>
      </c>
      <c r="J52" s="9">
        <v>0.05</v>
      </c>
      <c r="K52" s="7" t="s">
        <v>51</v>
      </c>
      <c r="L52" s="9">
        <v>0.0035</v>
      </c>
      <c r="M52" s="9">
        <v>0.0789</v>
      </c>
      <c r="N52" s="7">
        <v>0.06</v>
      </c>
      <c r="O52" s="7">
        <v>18.29</v>
      </c>
      <c r="P52" s="7">
        <v>66.38</v>
      </c>
      <c r="Q52" s="7">
        <v>31.08</v>
      </c>
      <c r="R52" s="7">
        <v>31.98</v>
      </c>
      <c r="S52" s="7" t="s">
        <v>41</v>
      </c>
      <c r="T52" s="7" t="s">
        <v>41</v>
      </c>
      <c r="U52" s="7" t="s">
        <v>41</v>
      </c>
      <c r="V52" s="7" t="s">
        <v>41</v>
      </c>
      <c r="W52" s="7" t="s">
        <v>55</v>
      </c>
      <c r="X52" s="7" t="s">
        <v>52</v>
      </c>
      <c r="Y52" s="7" t="s">
        <v>41</v>
      </c>
      <c r="Z52" s="7" t="s">
        <v>41</v>
      </c>
      <c r="AA52" s="7" t="s">
        <v>41</v>
      </c>
      <c r="AB52" s="7" t="s">
        <v>41</v>
      </c>
      <c r="AC52" s="7">
        <v>17.0</v>
      </c>
      <c r="AD52" s="7">
        <v>1.3</v>
      </c>
      <c r="AE52" s="7">
        <v>9.4</v>
      </c>
      <c r="AF52" s="7">
        <v>6.1</v>
      </c>
      <c r="AG52" s="7">
        <v>2.0</v>
      </c>
    </row>
    <row r="53">
      <c r="A53" s="7" t="s">
        <v>198</v>
      </c>
      <c r="B53" s="7" t="s">
        <v>199</v>
      </c>
      <c r="C53" s="7" t="s">
        <v>200</v>
      </c>
      <c r="D53" s="7" t="s">
        <v>33</v>
      </c>
      <c r="E53" s="8">
        <v>7.41</v>
      </c>
      <c r="F53" s="8">
        <v>31.7</v>
      </c>
      <c r="G53" s="7">
        <v>2.162</v>
      </c>
      <c r="H53" s="7">
        <v>0.136</v>
      </c>
      <c r="I53" s="7">
        <v>26.93</v>
      </c>
      <c r="J53" s="9">
        <v>0.0095</v>
      </c>
      <c r="K53" s="9">
        <v>0.062</v>
      </c>
      <c r="L53" s="9">
        <v>0.0303</v>
      </c>
      <c r="M53" s="9">
        <v>0.115</v>
      </c>
      <c r="N53" s="7">
        <v>1.2</v>
      </c>
      <c r="O53" s="7">
        <v>3.87</v>
      </c>
      <c r="P53" s="7">
        <v>3.92</v>
      </c>
      <c r="Q53" s="7">
        <v>3.32</v>
      </c>
      <c r="R53" s="7">
        <v>3.54</v>
      </c>
      <c r="S53" s="7">
        <v>0.34663</v>
      </c>
      <c r="T53" s="7">
        <v>0.31601</v>
      </c>
      <c r="U53" s="7">
        <v>0.11996</v>
      </c>
      <c r="V53" s="7">
        <v>0.28122</v>
      </c>
      <c r="W53" s="7" t="s">
        <v>52</v>
      </c>
      <c r="X53" s="7" t="s">
        <v>52</v>
      </c>
      <c r="Y53" s="7" t="s">
        <v>41</v>
      </c>
      <c r="Z53" s="7" t="s">
        <v>41</v>
      </c>
      <c r="AA53" s="7" t="s">
        <v>52</v>
      </c>
      <c r="AB53" s="7" t="s">
        <v>42</v>
      </c>
      <c r="AC53" s="7" t="s">
        <v>41</v>
      </c>
      <c r="AD53" s="7" t="s">
        <v>41</v>
      </c>
      <c r="AE53" s="7" t="s">
        <v>41</v>
      </c>
      <c r="AF53" s="7" t="s">
        <v>41</v>
      </c>
      <c r="AG53" s="7" t="s">
        <v>41</v>
      </c>
    </row>
    <row r="54">
      <c r="A54" s="7" t="s">
        <v>201</v>
      </c>
      <c r="B54" s="7" t="s">
        <v>202</v>
      </c>
      <c r="C54" s="7" t="s">
        <v>203</v>
      </c>
      <c r="D54" s="7" t="s">
        <v>40</v>
      </c>
      <c r="E54" s="8">
        <v>32.91</v>
      </c>
      <c r="F54" s="8">
        <v>25.91</v>
      </c>
      <c r="G54" s="7">
        <v>3.719</v>
      </c>
      <c r="H54" s="7">
        <v>2.622</v>
      </c>
      <c r="I54" s="7" t="s">
        <v>41</v>
      </c>
      <c r="J54" s="7" t="s">
        <v>51</v>
      </c>
      <c r="K54" s="9">
        <v>-0.0137</v>
      </c>
      <c r="L54" s="9">
        <v>-0.0114</v>
      </c>
      <c r="M54" s="9">
        <v>-0.0201</v>
      </c>
      <c r="N54" s="7">
        <v>-1.08</v>
      </c>
      <c r="O54" s="7">
        <v>1.62</v>
      </c>
      <c r="P54" s="7">
        <v>1.56</v>
      </c>
      <c r="Q54" s="7">
        <v>0.604</v>
      </c>
      <c r="R54" s="7">
        <v>0.902</v>
      </c>
      <c r="S54" s="7">
        <v>0.299</v>
      </c>
      <c r="T54" s="7">
        <v>0.313</v>
      </c>
      <c r="U54" s="7">
        <v>-0.172</v>
      </c>
      <c r="V54" s="7">
        <v>-0.029</v>
      </c>
      <c r="W54" s="7" t="s">
        <v>59</v>
      </c>
      <c r="X54" s="7" t="s">
        <v>59</v>
      </c>
      <c r="Y54" s="7" t="s">
        <v>41</v>
      </c>
      <c r="Z54" s="7" t="s">
        <v>41</v>
      </c>
      <c r="AA54" s="7" t="s">
        <v>41</v>
      </c>
      <c r="AB54" s="7" t="s">
        <v>41</v>
      </c>
      <c r="AC54" s="7">
        <v>26.0</v>
      </c>
      <c r="AD54" s="7">
        <v>2.8</v>
      </c>
      <c r="AE54" s="7">
        <v>14.7</v>
      </c>
      <c r="AF54" s="7">
        <v>8.3</v>
      </c>
      <c r="AG54" s="7">
        <v>2.0</v>
      </c>
    </row>
    <row r="55">
      <c r="A55" s="7" t="s">
        <v>204</v>
      </c>
      <c r="B55" s="7" t="s">
        <v>205</v>
      </c>
      <c r="C55" s="7" t="s">
        <v>206</v>
      </c>
      <c r="D55" s="7" t="s">
        <v>33</v>
      </c>
      <c r="E55" s="8">
        <v>96.49</v>
      </c>
      <c r="F55" s="8">
        <v>19.9</v>
      </c>
      <c r="G55" s="7">
        <v>0.296</v>
      </c>
      <c r="H55" s="7">
        <v>0.007937</v>
      </c>
      <c r="I55" s="7">
        <v>20.56</v>
      </c>
      <c r="J55" s="9">
        <v>0.0202</v>
      </c>
      <c r="K55" s="9">
        <v>0.0395</v>
      </c>
      <c r="L55" s="9">
        <v>0.0309</v>
      </c>
      <c r="M55" s="9">
        <v>0.0618</v>
      </c>
      <c r="N55" s="7">
        <v>0.97</v>
      </c>
      <c r="O55" s="7">
        <v>0.4486</v>
      </c>
      <c r="P55" s="7">
        <v>0.4124</v>
      </c>
      <c r="Q55" s="7">
        <v>0.3964</v>
      </c>
      <c r="R55" s="7">
        <v>0.464</v>
      </c>
      <c r="S55" s="7">
        <v>0.0545</v>
      </c>
      <c r="T55" s="7">
        <v>0.0452</v>
      </c>
      <c r="U55" s="7">
        <v>0.0478</v>
      </c>
      <c r="V55" s="7">
        <v>0.0591</v>
      </c>
      <c r="W55" s="7" t="s">
        <v>36</v>
      </c>
      <c r="X55" s="7" t="s">
        <v>59</v>
      </c>
      <c r="Y55" s="7" t="s">
        <v>41</v>
      </c>
      <c r="Z55" s="7" t="s">
        <v>41</v>
      </c>
      <c r="AA55" s="7" t="s">
        <v>41</v>
      </c>
      <c r="AB55" s="7" t="s">
        <v>41</v>
      </c>
      <c r="AC55" s="7" t="s">
        <v>41</v>
      </c>
      <c r="AD55" s="7" t="s">
        <v>41</v>
      </c>
      <c r="AE55" s="7" t="s">
        <v>41</v>
      </c>
      <c r="AF55" s="7" t="s">
        <v>41</v>
      </c>
      <c r="AG55" s="7" t="s">
        <v>41</v>
      </c>
    </row>
    <row r="56">
      <c r="A56" s="7" t="s">
        <v>207</v>
      </c>
      <c r="B56" s="7" t="s">
        <v>208</v>
      </c>
      <c r="C56" s="7" t="s">
        <v>209</v>
      </c>
      <c r="D56" s="7" t="s">
        <v>33</v>
      </c>
      <c r="E56" s="8">
        <v>20.98</v>
      </c>
      <c r="F56" s="8">
        <v>53.6</v>
      </c>
      <c r="G56" s="7">
        <v>64.417</v>
      </c>
      <c r="H56" s="7">
        <v>4.711</v>
      </c>
      <c r="I56" s="7">
        <v>7.2</v>
      </c>
      <c r="J56" s="9">
        <v>0.0696</v>
      </c>
      <c r="K56" s="7" t="s">
        <v>51</v>
      </c>
      <c r="L56" s="9">
        <v>0.0037</v>
      </c>
      <c r="M56" s="9">
        <v>0.0698</v>
      </c>
      <c r="N56" s="7">
        <v>6.98</v>
      </c>
      <c r="O56" s="7">
        <v>56.355</v>
      </c>
      <c r="P56" s="7">
        <v>54.779</v>
      </c>
      <c r="Q56" s="7">
        <v>55.005</v>
      </c>
      <c r="R56" s="7">
        <v>51.994</v>
      </c>
      <c r="S56" s="7" t="s">
        <v>41</v>
      </c>
      <c r="T56" s="7" t="s">
        <v>41</v>
      </c>
      <c r="U56" s="7" t="s">
        <v>41</v>
      </c>
      <c r="V56" s="7" t="s">
        <v>41</v>
      </c>
      <c r="W56" s="7" t="s">
        <v>35</v>
      </c>
      <c r="X56" s="7" t="s">
        <v>35</v>
      </c>
      <c r="Y56" s="7" t="s">
        <v>41</v>
      </c>
      <c r="Z56" s="7" t="s">
        <v>41</v>
      </c>
      <c r="AA56" s="7" t="s">
        <v>41</v>
      </c>
      <c r="AB56" s="7" t="s">
        <v>41</v>
      </c>
      <c r="AC56" s="7">
        <v>24.0</v>
      </c>
      <c r="AD56" s="7">
        <v>1.3</v>
      </c>
      <c r="AE56" s="7">
        <v>11.2</v>
      </c>
      <c r="AF56" s="7">
        <v>11.4</v>
      </c>
      <c r="AG56" s="7">
        <v>3.0</v>
      </c>
    </row>
    <row r="57">
      <c r="A57" s="7" t="s">
        <v>210</v>
      </c>
      <c r="B57" s="7" t="s">
        <v>211</v>
      </c>
      <c r="C57" s="7" t="s">
        <v>212</v>
      </c>
      <c r="D57" s="7" t="s">
        <v>33</v>
      </c>
      <c r="E57" s="8">
        <v>24.54</v>
      </c>
      <c r="F57" s="8">
        <v>75.0</v>
      </c>
      <c r="G57" s="7">
        <v>5.313</v>
      </c>
      <c r="H57" s="7">
        <v>0.026347</v>
      </c>
      <c r="I57" s="7">
        <v>14.97</v>
      </c>
      <c r="J57" s="9">
        <v>0.0496</v>
      </c>
      <c r="K57" s="9">
        <v>0.0643</v>
      </c>
      <c r="L57" s="9">
        <v>0.044</v>
      </c>
      <c r="M57" s="9">
        <v>0.1534</v>
      </c>
      <c r="N57" s="7">
        <v>6.67</v>
      </c>
      <c r="O57" s="7">
        <v>2.93</v>
      </c>
      <c r="P57" s="7">
        <v>2.5</v>
      </c>
      <c r="Q57" s="7">
        <v>1.53</v>
      </c>
      <c r="R57" s="7">
        <v>2.28</v>
      </c>
      <c r="S57" s="7">
        <v>0.53656</v>
      </c>
      <c r="T57" s="7">
        <v>0.37685</v>
      </c>
      <c r="U57" s="7">
        <v>-0.00944</v>
      </c>
      <c r="V57" s="7">
        <v>0.84922</v>
      </c>
      <c r="W57" s="7" t="s">
        <v>114</v>
      </c>
      <c r="X57" s="7" t="s">
        <v>59</v>
      </c>
      <c r="Y57" s="7" t="s">
        <v>41</v>
      </c>
      <c r="Z57" s="7" t="s">
        <v>41</v>
      </c>
      <c r="AA57" s="7" t="s">
        <v>41</v>
      </c>
      <c r="AB57" s="7" t="s">
        <v>41</v>
      </c>
      <c r="AC57" s="7" t="s">
        <v>41</v>
      </c>
      <c r="AD57" s="7" t="s">
        <v>41</v>
      </c>
      <c r="AE57" s="7" t="s">
        <v>41</v>
      </c>
      <c r="AF57" s="7" t="s">
        <v>41</v>
      </c>
      <c r="AG57" s="7" t="s">
        <v>41</v>
      </c>
    </row>
    <row r="58">
      <c r="A58" s="7" t="s">
        <v>213</v>
      </c>
      <c r="B58" s="7" t="s">
        <v>214</v>
      </c>
      <c r="C58" s="7" t="s">
        <v>215</v>
      </c>
      <c r="D58" s="7" t="s">
        <v>33</v>
      </c>
      <c r="E58" s="8">
        <v>17.79</v>
      </c>
      <c r="F58" s="8">
        <v>25.15</v>
      </c>
      <c r="G58" s="7">
        <v>23.76</v>
      </c>
      <c r="H58" s="7">
        <v>0.842348</v>
      </c>
      <c r="I58" s="7">
        <v>19.6</v>
      </c>
      <c r="J58" s="9">
        <v>0.0795</v>
      </c>
      <c r="K58" s="9">
        <v>0.0112</v>
      </c>
      <c r="L58" s="9">
        <v>0.0083</v>
      </c>
      <c r="M58" s="9">
        <v>0.0016</v>
      </c>
      <c r="N58" s="7">
        <v>1.14</v>
      </c>
      <c r="O58" s="7">
        <v>24.34</v>
      </c>
      <c r="P58" s="7">
        <v>20.76</v>
      </c>
      <c r="Q58" s="7">
        <v>15.35</v>
      </c>
      <c r="R58" s="7">
        <v>22.14</v>
      </c>
      <c r="S58" s="7">
        <v>3.71</v>
      </c>
      <c r="T58" s="7">
        <v>4.06</v>
      </c>
      <c r="U58" s="7">
        <v>3.23</v>
      </c>
      <c r="V58" s="7">
        <v>3.61</v>
      </c>
      <c r="W58" s="7" t="s">
        <v>34</v>
      </c>
      <c r="X58" s="7" t="s">
        <v>35</v>
      </c>
      <c r="Y58" s="7" t="s">
        <v>41</v>
      </c>
      <c r="Z58" s="7" t="s">
        <v>41</v>
      </c>
      <c r="AA58" s="7" t="s">
        <v>42</v>
      </c>
      <c r="AB58" s="7" t="s">
        <v>34</v>
      </c>
      <c r="AC58" s="7">
        <v>18.0</v>
      </c>
      <c r="AD58" s="7">
        <v>7.8</v>
      </c>
      <c r="AE58" s="7">
        <v>5.2</v>
      </c>
      <c r="AF58" s="7">
        <v>5.2</v>
      </c>
      <c r="AG58" s="7">
        <v>1.0</v>
      </c>
    </row>
    <row r="59">
      <c r="A59" s="7" t="s">
        <v>216</v>
      </c>
      <c r="B59" s="7" t="s">
        <v>217</v>
      </c>
      <c r="C59" s="7" t="s">
        <v>218</v>
      </c>
      <c r="D59" s="7" t="s">
        <v>146</v>
      </c>
      <c r="E59" s="8">
        <v>6980.0</v>
      </c>
      <c r="F59" s="8">
        <v>16545.0</v>
      </c>
      <c r="G59" s="7">
        <v>3256.0</v>
      </c>
      <c r="H59" s="7">
        <v>0.705426</v>
      </c>
      <c r="I59" s="7" t="s">
        <v>41</v>
      </c>
      <c r="J59" s="9">
        <v>0.008</v>
      </c>
      <c r="K59" s="9">
        <v>0.0368</v>
      </c>
      <c r="L59" s="9">
        <v>0.0338</v>
      </c>
      <c r="M59" s="9">
        <v>0.0888</v>
      </c>
      <c r="N59" s="7">
        <v>-1025.45</v>
      </c>
      <c r="O59" s="7">
        <v>1820.0</v>
      </c>
      <c r="P59" s="7">
        <v>1880.0</v>
      </c>
      <c r="Q59" s="7">
        <v>1840.0</v>
      </c>
      <c r="R59" s="7">
        <v>823.52</v>
      </c>
      <c r="S59" s="7">
        <v>873.21</v>
      </c>
      <c r="T59" s="7">
        <v>921.04</v>
      </c>
      <c r="U59" s="7">
        <v>874.11</v>
      </c>
      <c r="V59" s="7">
        <v>14.61</v>
      </c>
      <c r="W59" s="7" t="s">
        <v>43</v>
      </c>
      <c r="X59" s="7" t="s">
        <v>43</v>
      </c>
      <c r="Y59" s="7" t="s">
        <v>41</v>
      </c>
      <c r="Z59" s="7" t="s">
        <v>59</v>
      </c>
      <c r="AA59" s="7" t="s">
        <v>59</v>
      </c>
      <c r="AB59" s="7" t="s">
        <v>59</v>
      </c>
      <c r="AC59" s="7">
        <v>28.0</v>
      </c>
      <c r="AD59" s="7">
        <v>10.1</v>
      </c>
      <c r="AE59" s="7">
        <v>12.5</v>
      </c>
      <c r="AF59" s="7">
        <v>5.8</v>
      </c>
      <c r="AG59" s="7">
        <v>2.0</v>
      </c>
    </row>
    <row r="60">
      <c r="A60" s="7" t="s">
        <v>219</v>
      </c>
      <c r="B60" s="7" t="s">
        <v>220</v>
      </c>
      <c r="C60" s="7" t="s">
        <v>221</v>
      </c>
      <c r="D60" s="7" t="s">
        <v>124</v>
      </c>
      <c r="E60" s="8">
        <v>14.62</v>
      </c>
      <c r="F60" s="8">
        <v>127.0</v>
      </c>
      <c r="G60" s="7">
        <v>35.57</v>
      </c>
      <c r="H60" s="7">
        <v>140.827</v>
      </c>
      <c r="I60" s="7" t="s">
        <v>41</v>
      </c>
      <c r="J60" s="9">
        <v>0.0591</v>
      </c>
      <c r="K60" s="9">
        <v>-0.0021</v>
      </c>
      <c r="L60" s="9">
        <v>-0.0016</v>
      </c>
      <c r="M60" s="9">
        <v>-0.0092</v>
      </c>
      <c r="N60" s="7">
        <v>-0.5</v>
      </c>
      <c r="O60" s="7">
        <v>46.571</v>
      </c>
      <c r="P60" s="7">
        <v>43.666</v>
      </c>
      <c r="Q60" s="7">
        <v>44.974</v>
      </c>
      <c r="R60" s="7">
        <v>43.809</v>
      </c>
      <c r="S60" s="7">
        <v>12.99</v>
      </c>
      <c r="T60" s="7">
        <v>12.27</v>
      </c>
      <c r="U60" s="7">
        <v>16.55</v>
      </c>
      <c r="V60" s="7">
        <v>16.64</v>
      </c>
      <c r="W60" s="7" t="s">
        <v>34</v>
      </c>
      <c r="X60" s="7" t="s">
        <v>35</v>
      </c>
      <c r="Y60" s="7" t="s">
        <v>41</v>
      </c>
      <c r="Z60" s="7" t="s">
        <v>41</v>
      </c>
      <c r="AA60" s="7" t="s">
        <v>41</v>
      </c>
      <c r="AB60" s="7" t="s">
        <v>41</v>
      </c>
      <c r="AC60" s="7">
        <v>16.0</v>
      </c>
      <c r="AD60" s="7">
        <v>2.5</v>
      </c>
      <c r="AE60" s="7">
        <v>7.8</v>
      </c>
      <c r="AF60" s="7">
        <v>5.4</v>
      </c>
      <c r="AG60" s="7">
        <v>2.0</v>
      </c>
    </row>
    <row r="61">
      <c r="A61" s="7" t="s">
        <v>222</v>
      </c>
      <c r="B61" s="7" t="s">
        <v>223</v>
      </c>
      <c r="C61" s="7" t="s">
        <v>224</v>
      </c>
      <c r="D61" s="7" t="s">
        <v>33</v>
      </c>
      <c r="E61" s="8">
        <v>2.79</v>
      </c>
      <c r="F61" s="8">
        <v>3.84</v>
      </c>
      <c r="G61" s="7">
        <v>0.894</v>
      </c>
      <c r="H61" s="7">
        <v>0.43275</v>
      </c>
      <c r="I61" s="7" t="s">
        <v>41</v>
      </c>
      <c r="J61" s="7" t="s">
        <v>51</v>
      </c>
      <c r="K61" s="9">
        <v>0.0159</v>
      </c>
      <c r="L61" s="9">
        <v>0.0151</v>
      </c>
      <c r="M61" s="9">
        <v>0.0259</v>
      </c>
      <c r="N61" s="7">
        <v>-0.03</v>
      </c>
      <c r="O61" s="7">
        <v>0.39257</v>
      </c>
      <c r="P61" s="7">
        <v>0.42918</v>
      </c>
      <c r="Q61" s="7">
        <v>0.13682</v>
      </c>
      <c r="R61" s="7">
        <v>0.19199</v>
      </c>
      <c r="S61" s="7">
        <v>0.11255</v>
      </c>
      <c r="T61" s="7">
        <v>0.16094</v>
      </c>
      <c r="U61" s="7">
        <v>-0.01343</v>
      </c>
      <c r="V61" s="7">
        <v>0.01452</v>
      </c>
      <c r="W61" s="7" t="s">
        <v>43</v>
      </c>
      <c r="X61" s="7" t="s">
        <v>43</v>
      </c>
      <c r="Y61" s="7" t="s">
        <v>41</v>
      </c>
      <c r="Z61" s="7" t="s">
        <v>41</v>
      </c>
      <c r="AA61" s="7" t="s">
        <v>41</v>
      </c>
      <c r="AB61" s="7" t="s">
        <v>41</v>
      </c>
      <c r="AC61" s="7" t="s">
        <v>41</v>
      </c>
      <c r="AD61" s="7" t="s">
        <v>41</v>
      </c>
      <c r="AE61" s="7" t="s">
        <v>41</v>
      </c>
      <c r="AF61" s="7" t="s">
        <v>41</v>
      </c>
      <c r="AG61" s="7" t="s">
        <v>41</v>
      </c>
    </row>
    <row r="62">
      <c r="A62" s="7" t="s">
        <v>225</v>
      </c>
      <c r="B62" s="7" t="s">
        <v>226</v>
      </c>
      <c r="C62" s="7" t="s">
        <v>227</v>
      </c>
      <c r="D62" s="7" t="s">
        <v>33</v>
      </c>
      <c r="E62" s="8">
        <v>1.2049</v>
      </c>
      <c r="F62" s="8">
        <v>1.886</v>
      </c>
      <c r="G62" s="7">
        <v>5.666</v>
      </c>
      <c r="H62" s="7">
        <v>4.083</v>
      </c>
      <c r="I62" s="7">
        <v>7.4</v>
      </c>
      <c r="J62" s="9">
        <v>0.0901</v>
      </c>
      <c r="K62" s="7" t="s">
        <v>51</v>
      </c>
      <c r="L62" s="9">
        <v>0.014</v>
      </c>
      <c r="M62" s="9">
        <v>0.0732</v>
      </c>
      <c r="N62" s="7">
        <v>0.25</v>
      </c>
      <c r="O62" s="7">
        <v>21.48</v>
      </c>
      <c r="P62" s="7">
        <v>21.94</v>
      </c>
      <c r="Q62" s="7">
        <v>18.38</v>
      </c>
      <c r="R62" s="7">
        <v>19.72</v>
      </c>
      <c r="S62" s="7" t="s">
        <v>41</v>
      </c>
      <c r="T62" s="7" t="s">
        <v>41</v>
      </c>
      <c r="U62" s="7" t="s">
        <v>41</v>
      </c>
      <c r="V62" s="7" t="s">
        <v>41</v>
      </c>
      <c r="W62" s="7" t="s">
        <v>43</v>
      </c>
      <c r="X62" s="7" t="s">
        <v>43</v>
      </c>
      <c r="Y62" s="7" t="s">
        <v>41</v>
      </c>
      <c r="Z62" s="7" t="s">
        <v>41</v>
      </c>
      <c r="AA62" s="7" t="s">
        <v>41</v>
      </c>
      <c r="AB62" s="7" t="s">
        <v>41</v>
      </c>
      <c r="AC62" s="7">
        <v>21.0</v>
      </c>
      <c r="AD62" s="7">
        <v>2.0</v>
      </c>
      <c r="AE62" s="7">
        <v>8.3</v>
      </c>
      <c r="AF62" s="7">
        <v>10.9</v>
      </c>
      <c r="AG62" s="7">
        <v>2.0</v>
      </c>
    </row>
    <row r="63">
      <c r="A63" s="7" t="s">
        <v>228</v>
      </c>
      <c r="B63" s="7" t="s">
        <v>229</v>
      </c>
      <c r="C63" s="7" t="s">
        <v>230</v>
      </c>
      <c r="D63" s="7" t="s">
        <v>33</v>
      </c>
      <c r="E63" s="8">
        <v>17.12</v>
      </c>
      <c r="F63" s="8">
        <v>12.05</v>
      </c>
      <c r="G63" s="7">
        <v>2.67</v>
      </c>
      <c r="H63" s="7">
        <v>1.236</v>
      </c>
      <c r="I63" s="7">
        <v>5.96</v>
      </c>
      <c r="J63" s="9">
        <v>0.0664</v>
      </c>
      <c r="K63" s="9">
        <v>0.0736</v>
      </c>
      <c r="L63" s="9">
        <v>0.0551</v>
      </c>
      <c r="M63" s="9">
        <v>0.3096</v>
      </c>
      <c r="N63" s="7">
        <v>1.98</v>
      </c>
      <c r="O63" s="7">
        <v>4.01</v>
      </c>
      <c r="P63" s="7">
        <v>4.14</v>
      </c>
      <c r="Q63" s="7">
        <v>4.05</v>
      </c>
      <c r="R63" s="7">
        <v>4.49</v>
      </c>
      <c r="S63" s="7">
        <v>0.523</v>
      </c>
      <c r="T63" s="7">
        <v>0.805</v>
      </c>
      <c r="U63" s="7">
        <v>0.675</v>
      </c>
      <c r="V63" s="7">
        <v>0.83</v>
      </c>
      <c r="W63" s="7" t="s">
        <v>55</v>
      </c>
      <c r="X63" s="7" t="s">
        <v>55</v>
      </c>
      <c r="Y63" s="7" t="s">
        <v>41</v>
      </c>
      <c r="Z63" s="7" t="s">
        <v>41</v>
      </c>
      <c r="AA63" s="7" t="s">
        <v>41</v>
      </c>
      <c r="AB63" s="7" t="s">
        <v>41</v>
      </c>
      <c r="AC63" s="7">
        <v>12.0</v>
      </c>
      <c r="AD63" s="7">
        <v>0.1</v>
      </c>
      <c r="AE63" s="7">
        <v>5.3</v>
      </c>
      <c r="AF63" s="7">
        <v>6.1</v>
      </c>
      <c r="AG63" s="7">
        <v>2.0</v>
      </c>
    </row>
    <row r="64">
      <c r="A64" s="7" t="s">
        <v>231</v>
      </c>
      <c r="B64" s="7" t="s">
        <v>232</v>
      </c>
      <c r="C64" s="7" t="s">
        <v>233</v>
      </c>
      <c r="D64" s="7" t="s">
        <v>33</v>
      </c>
      <c r="E64" s="8">
        <v>0.09</v>
      </c>
      <c r="F64" s="8">
        <v>8.05</v>
      </c>
      <c r="G64" s="7">
        <v>0.856</v>
      </c>
      <c r="H64" s="7">
        <v>1.231</v>
      </c>
      <c r="I64" s="7">
        <v>22.41</v>
      </c>
      <c r="J64" s="7" t="s">
        <v>51</v>
      </c>
      <c r="K64" s="9">
        <v>0.1428</v>
      </c>
      <c r="L64" s="9">
        <v>0.0594</v>
      </c>
      <c r="M64" s="9">
        <v>0.3241</v>
      </c>
      <c r="N64" s="7">
        <v>0.32</v>
      </c>
      <c r="O64" s="7">
        <v>0.45182</v>
      </c>
      <c r="P64" s="7">
        <v>0.69141</v>
      </c>
      <c r="Q64" s="7">
        <v>0.81928</v>
      </c>
      <c r="R64" s="7">
        <v>0.8738</v>
      </c>
      <c r="S64" s="7">
        <v>0.02516</v>
      </c>
      <c r="T64" s="7">
        <v>0.06757</v>
      </c>
      <c r="U64" s="7">
        <v>0.09023</v>
      </c>
      <c r="V64" s="7" t="s">
        <v>41</v>
      </c>
      <c r="W64" s="7" t="s">
        <v>41</v>
      </c>
      <c r="X64" s="7" t="s">
        <v>41</v>
      </c>
      <c r="Y64" s="7" t="s">
        <v>41</v>
      </c>
      <c r="Z64" s="7" t="s">
        <v>41</v>
      </c>
      <c r="AA64" s="7" t="s">
        <v>41</v>
      </c>
      <c r="AB64" s="7" t="s">
        <v>41</v>
      </c>
      <c r="AC64" s="7" t="s">
        <v>41</v>
      </c>
      <c r="AD64" s="7" t="s">
        <v>41</v>
      </c>
      <c r="AE64" s="7" t="s">
        <v>41</v>
      </c>
      <c r="AF64" s="7" t="s">
        <v>41</v>
      </c>
      <c r="AG64" s="7" t="s">
        <v>41</v>
      </c>
    </row>
    <row r="65">
      <c r="A65" s="7" t="s">
        <v>234</v>
      </c>
      <c r="B65" s="7" t="s">
        <v>235</v>
      </c>
      <c r="C65" s="7" t="s">
        <v>236</v>
      </c>
      <c r="D65" s="7" t="s">
        <v>40</v>
      </c>
      <c r="E65" s="8">
        <v>974.25</v>
      </c>
      <c r="F65" s="8">
        <v>2201.96</v>
      </c>
      <c r="G65" s="7">
        <v>88.522</v>
      </c>
      <c r="H65" s="7">
        <v>0.46536</v>
      </c>
      <c r="I65" s="7">
        <v>78.65</v>
      </c>
      <c r="J65" s="7" t="s">
        <v>51</v>
      </c>
      <c r="K65" s="9">
        <v>0.1481</v>
      </c>
      <c r="L65" s="9">
        <v>0.1214</v>
      </c>
      <c r="M65" s="9">
        <v>0.3535</v>
      </c>
      <c r="N65" s="7">
        <v>28.39</v>
      </c>
      <c r="O65" s="7">
        <v>14.53</v>
      </c>
      <c r="P65" s="7">
        <v>15.07</v>
      </c>
      <c r="Q65" s="7">
        <v>6.8</v>
      </c>
      <c r="R65" s="7">
        <v>10.96</v>
      </c>
      <c r="S65" s="7">
        <v>5.77</v>
      </c>
      <c r="T65" s="7">
        <v>5.99</v>
      </c>
      <c r="U65" s="7">
        <v>1.1</v>
      </c>
      <c r="V65" s="7">
        <v>3.24</v>
      </c>
      <c r="W65" s="7" t="s">
        <v>41</v>
      </c>
      <c r="X65" s="7" t="s">
        <v>41</v>
      </c>
      <c r="Y65" s="7" t="s">
        <v>41</v>
      </c>
      <c r="Z65" s="7" t="s">
        <v>41</v>
      </c>
      <c r="AA65" s="7" t="s">
        <v>41</v>
      </c>
      <c r="AB65" s="7" t="s">
        <v>41</v>
      </c>
      <c r="AC65" s="7">
        <v>22.0</v>
      </c>
      <c r="AD65" s="7">
        <v>2.0</v>
      </c>
      <c r="AE65" s="7">
        <v>12.4</v>
      </c>
      <c r="AF65" s="7">
        <v>7.2</v>
      </c>
      <c r="AG65" s="7">
        <v>2.0</v>
      </c>
    </row>
    <row r="66">
      <c r="A66" s="7" t="s">
        <v>237</v>
      </c>
      <c r="B66" s="7" t="s">
        <v>238</v>
      </c>
      <c r="C66" s="7" t="s">
        <v>239</v>
      </c>
      <c r="D66" s="7" t="s">
        <v>33</v>
      </c>
      <c r="E66" s="8">
        <v>13.6</v>
      </c>
      <c r="F66" s="8">
        <v>5.39</v>
      </c>
      <c r="G66" s="7">
        <v>0.896</v>
      </c>
      <c r="H66" s="7">
        <v>0.139815</v>
      </c>
      <c r="I66" s="7">
        <v>70.62</v>
      </c>
      <c r="J66" s="9">
        <v>0.0077</v>
      </c>
      <c r="K66" s="9">
        <v>0.067</v>
      </c>
      <c r="L66" s="9">
        <v>0.0379</v>
      </c>
      <c r="M66" s="9">
        <v>0.1072</v>
      </c>
      <c r="N66" s="7">
        <v>0.08</v>
      </c>
      <c r="O66" s="7">
        <v>0.19073</v>
      </c>
      <c r="P66" s="7">
        <v>0.21734</v>
      </c>
      <c r="Q66" s="7">
        <v>0.2202</v>
      </c>
      <c r="R66" s="7">
        <v>0.23627</v>
      </c>
      <c r="S66" s="7">
        <v>0.01413</v>
      </c>
      <c r="T66" s="7">
        <v>0.0171</v>
      </c>
      <c r="U66" s="7">
        <v>0.03359</v>
      </c>
      <c r="V66" s="7">
        <v>0.03428</v>
      </c>
      <c r="W66" s="7" t="s">
        <v>41</v>
      </c>
      <c r="X66" s="7" t="s">
        <v>41</v>
      </c>
      <c r="Y66" s="7" t="s">
        <v>41</v>
      </c>
      <c r="Z66" s="7" t="s">
        <v>41</v>
      </c>
      <c r="AA66" s="7" t="s">
        <v>41</v>
      </c>
      <c r="AB66" s="7" t="s">
        <v>41</v>
      </c>
      <c r="AC66" s="7" t="s">
        <v>41</v>
      </c>
      <c r="AD66" s="7" t="s">
        <v>41</v>
      </c>
      <c r="AE66" s="7" t="s">
        <v>41</v>
      </c>
      <c r="AF66" s="7" t="s">
        <v>41</v>
      </c>
      <c r="AG66" s="7" t="s">
        <v>41</v>
      </c>
    </row>
    <row r="67">
      <c r="A67" s="7" t="s">
        <v>240</v>
      </c>
      <c r="B67" s="7" t="s">
        <v>241</v>
      </c>
      <c r="C67" s="7" t="s">
        <v>242</v>
      </c>
      <c r="D67" s="7" t="s">
        <v>33</v>
      </c>
      <c r="E67" s="8">
        <v>16.16</v>
      </c>
      <c r="F67" s="8">
        <v>11.05</v>
      </c>
      <c r="G67" s="7">
        <v>32.821</v>
      </c>
      <c r="H67" s="7">
        <v>9.026</v>
      </c>
      <c r="I67" s="7">
        <v>5.91</v>
      </c>
      <c r="J67" s="9">
        <v>0.0724</v>
      </c>
      <c r="K67" s="7" t="s">
        <v>51</v>
      </c>
      <c r="L67" s="9">
        <v>0.0029</v>
      </c>
      <c r="M67" s="9">
        <v>0.0633</v>
      </c>
      <c r="N67" s="7">
        <v>1.83</v>
      </c>
      <c r="O67" s="7">
        <v>25.9</v>
      </c>
      <c r="P67" s="7">
        <v>26.61</v>
      </c>
      <c r="Q67" s="7">
        <v>24.47</v>
      </c>
      <c r="R67" s="7">
        <v>22.66</v>
      </c>
      <c r="S67" s="7" t="s">
        <v>41</v>
      </c>
      <c r="T67" s="7" t="s">
        <v>41</v>
      </c>
      <c r="U67" s="7" t="s">
        <v>41</v>
      </c>
      <c r="V67" s="7" t="s">
        <v>41</v>
      </c>
      <c r="W67" s="7" t="s">
        <v>35</v>
      </c>
      <c r="X67" s="7" t="s">
        <v>43</v>
      </c>
      <c r="Y67" s="7" t="s">
        <v>41</v>
      </c>
      <c r="Z67" s="7" t="s">
        <v>41</v>
      </c>
      <c r="AA67" s="7" t="s">
        <v>41</v>
      </c>
      <c r="AB67" s="7" t="s">
        <v>41</v>
      </c>
      <c r="AC67" s="7">
        <v>25.0</v>
      </c>
      <c r="AD67" s="7">
        <v>1.5</v>
      </c>
      <c r="AE67" s="7">
        <v>10.6</v>
      </c>
      <c r="AF67" s="7">
        <v>12.9</v>
      </c>
      <c r="AG67" s="7">
        <v>3.0</v>
      </c>
    </row>
    <row r="68">
      <c r="A68" s="7" t="s">
        <v>243</v>
      </c>
      <c r="B68" s="7" t="s">
        <v>244</v>
      </c>
      <c r="C68" s="7" t="s">
        <v>245</v>
      </c>
      <c r="D68" s="7" t="s">
        <v>33</v>
      </c>
      <c r="E68" s="8">
        <v>9.75</v>
      </c>
      <c r="F68" s="8">
        <v>26.64</v>
      </c>
      <c r="G68" s="7">
        <v>12.037</v>
      </c>
      <c r="H68" s="7">
        <v>0.809</v>
      </c>
      <c r="I68" s="7">
        <v>28.91</v>
      </c>
      <c r="J68" s="9">
        <v>0.0199</v>
      </c>
      <c r="K68" s="9">
        <v>0.0764</v>
      </c>
      <c r="L68" s="9">
        <v>0.0531</v>
      </c>
      <c r="M68" s="9">
        <v>0.2673</v>
      </c>
      <c r="N68" s="7">
        <v>0.93</v>
      </c>
      <c r="O68" s="7">
        <v>4.8</v>
      </c>
      <c r="P68" s="7">
        <v>5.1</v>
      </c>
      <c r="Q68" s="7">
        <v>4.6</v>
      </c>
      <c r="R68" s="7">
        <v>4.98</v>
      </c>
      <c r="S68" s="7">
        <v>0.8123</v>
      </c>
      <c r="T68" s="7">
        <v>1.0</v>
      </c>
      <c r="U68" s="7">
        <v>0.8162</v>
      </c>
      <c r="V68" s="7">
        <v>0.9732</v>
      </c>
      <c r="W68" s="7" t="s">
        <v>43</v>
      </c>
      <c r="X68" s="7" t="s">
        <v>43</v>
      </c>
      <c r="Y68" s="7" t="s">
        <v>41</v>
      </c>
      <c r="Z68" s="7" t="s">
        <v>41</v>
      </c>
      <c r="AA68" s="7" t="s">
        <v>41</v>
      </c>
      <c r="AB68" s="7" t="s">
        <v>41</v>
      </c>
      <c r="AC68" s="7">
        <v>11.0</v>
      </c>
      <c r="AD68" s="7">
        <v>0.1</v>
      </c>
      <c r="AE68" s="7">
        <v>6.3</v>
      </c>
      <c r="AF68" s="7">
        <v>4.8</v>
      </c>
      <c r="AG68" s="7">
        <v>2.0</v>
      </c>
    </row>
    <row r="69">
      <c r="A69" s="7" t="s">
        <v>246</v>
      </c>
      <c r="B69" s="7" t="s">
        <v>247</v>
      </c>
      <c r="C69" s="7" t="s">
        <v>248</v>
      </c>
      <c r="D69" s="7" t="s">
        <v>249</v>
      </c>
      <c r="E69" s="8">
        <v>6.206</v>
      </c>
      <c r="F69" s="8">
        <v>6.206</v>
      </c>
      <c r="G69" s="7">
        <v>22.696</v>
      </c>
      <c r="H69" s="7">
        <v>1.646</v>
      </c>
      <c r="I69" s="7">
        <v>19.04</v>
      </c>
      <c r="J69" s="7" t="s">
        <v>51</v>
      </c>
      <c r="K69" s="9">
        <v>9.0E-4</v>
      </c>
      <c r="L69" s="9">
        <v>7.0E-4</v>
      </c>
      <c r="M69" s="9">
        <v>0.0048</v>
      </c>
      <c r="N69" s="7">
        <v>-1.01</v>
      </c>
      <c r="O69" s="7">
        <v>2.518</v>
      </c>
      <c r="P69" s="7">
        <v>2.431</v>
      </c>
      <c r="Q69" s="7">
        <v>1.033</v>
      </c>
      <c r="R69" s="7">
        <v>1.241</v>
      </c>
      <c r="S69" s="7">
        <v>0.665</v>
      </c>
      <c r="T69" s="7">
        <v>0.584</v>
      </c>
      <c r="U69" s="7">
        <v>-0.0849</v>
      </c>
      <c r="V69" s="7">
        <v>0.133</v>
      </c>
      <c r="W69" s="7" t="s">
        <v>42</v>
      </c>
      <c r="X69" s="7" t="s">
        <v>52</v>
      </c>
      <c r="Y69" s="7" t="s">
        <v>59</v>
      </c>
      <c r="Z69" s="7" t="s">
        <v>59</v>
      </c>
      <c r="AA69" s="7" t="s">
        <v>43</v>
      </c>
      <c r="AB69" s="7" t="s">
        <v>52</v>
      </c>
      <c r="AC69" s="7" t="s">
        <v>41</v>
      </c>
      <c r="AD69" s="7" t="s">
        <v>41</v>
      </c>
      <c r="AE69" s="7" t="s">
        <v>41</v>
      </c>
      <c r="AF69" s="7" t="s">
        <v>41</v>
      </c>
      <c r="AG69" s="7" t="s">
        <v>41</v>
      </c>
    </row>
    <row r="70">
      <c r="A70" s="7" t="s">
        <v>250</v>
      </c>
      <c r="B70" s="7" t="s">
        <v>251</v>
      </c>
      <c r="C70" s="7" t="s">
        <v>252</v>
      </c>
      <c r="D70" s="7" t="s">
        <v>33</v>
      </c>
      <c r="E70" s="8">
        <v>46.25</v>
      </c>
      <c r="F70" s="8">
        <v>30.56</v>
      </c>
      <c r="G70" s="7">
        <v>27.548</v>
      </c>
      <c r="H70" s="7">
        <v>6.279</v>
      </c>
      <c r="I70" s="7">
        <v>2.47</v>
      </c>
      <c r="J70" s="9">
        <v>0.0109</v>
      </c>
      <c r="K70" s="9">
        <v>0.0728</v>
      </c>
      <c r="L70" s="9">
        <v>0.0524</v>
      </c>
      <c r="M70" s="9">
        <v>0.1089</v>
      </c>
      <c r="N70" s="7">
        <v>12.27</v>
      </c>
      <c r="O70" s="7">
        <v>76.033</v>
      </c>
      <c r="P70" s="7">
        <v>70.615</v>
      </c>
      <c r="Q70" s="7">
        <v>53.27</v>
      </c>
      <c r="R70" s="7">
        <v>76.571</v>
      </c>
      <c r="S70" s="7">
        <v>10.265</v>
      </c>
      <c r="T70" s="7">
        <v>5.195</v>
      </c>
      <c r="U70" s="7">
        <v>4.301</v>
      </c>
      <c r="V70" s="7">
        <v>19.404</v>
      </c>
      <c r="W70" s="7" t="s">
        <v>35</v>
      </c>
      <c r="X70" s="7" t="s">
        <v>43</v>
      </c>
      <c r="Y70" s="7" t="s">
        <v>59</v>
      </c>
      <c r="Z70" s="7" t="s">
        <v>59</v>
      </c>
      <c r="AA70" s="7" t="s">
        <v>44</v>
      </c>
      <c r="AB70" s="7" t="s">
        <v>52</v>
      </c>
      <c r="AC70" s="7">
        <v>37.0</v>
      </c>
      <c r="AD70" s="7">
        <v>15.6</v>
      </c>
      <c r="AE70" s="7">
        <v>14.9</v>
      </c>
      <c r="AF70" s="7">
        <v>6.5</v>
      </c>
      <c r="AG70" s="7">
        <v>4.0</v>
      </c>
    </row>
    <row r="71">
      <c r="A71" s="7" t="s">
        <v>253</v>
      </c>
      <c r="B71" s="7" t="s">
        <v>254</v>
      </c>
      <c r="C71" s="7" t="s">
        <v>255</v>
      </c>
      <c r="D71" s="7" t="s">
        <v>40</v>
      </c>
      <c r="E71" s="8">
        <v>45.0</v>
      </c>
      <c r="F71" s="8">
        <v>151.42</v>
      </c>
      <c r="G71" s="7">
        <v>41.705</v>
      </c>
      <c r="H71" s="7">
        <v>2.742</v>
      </c>
      <c r="I71" s="7">
        <v>102.33</v>
      </c>
      <c r="J71" s="7" t="s">
        <v>51</v>
      </c>
      <c r="K71" s="9">
        <v>0.0273</v>
      </c>
      <c r="L71" s="9">
        <v>0.0228</v>
      </c>
      <c r="M71" s="9">
        <v>0.6547</v>
      </c>
      <c r="N71" s="7">
        <v>1.47</v>
      </c>
      <c r="O71" s="7">
        <v>8.91</v>
      </c>
      <c r="P71" s="7">
        <v>9.48</v>
      </c>
      <c r="Q71" s="7">
        <v>4.34</v>
      </c>
      <c r="R71" s="7">
        <v>5.82</v>
      </c>
      <c r="S71" s="7">
        <v>1.76</v>
      </c>
      <c r="T71" s="7">
        <v>1.95</v>
      </c>
      <c r="U71" s="7">
        <v>0.241</v>
      </c>
      <c r="V71" s="7">
        <v>1.24</v>
      </c>
      <c r="W71" s="7" t="s">
        <v>43</v>
      </c>
      <c r="X71" s="7" t="s">
        <v>43</v>
      </c>
      <c r="Y71" s="7" t="s">
        <v>256</v>
      </c>
      <c r="Z71" s="7" t="s">
        <v>44</v>
      </c>
      <c r="AA71" s="7" t="s">
        <v>35</v>
      </c>
      <c r="AB71" s="7" t="s">
        <v>44</v>
      </c>
      <c r="AC71" s="7">
        <v>20.0</v>
      </c>
      <c r="AD71" s="7">
        <v>7.9</v>
      </c>
      <c r="AE71" s="7">
        <v>8.1</v>
      </c>
      <c r="AF71" s="7">
        <v>3.9</v>
      </c>
      <c r="AG71" s="7">
        <v>2.0</v>
      </c>
    </row>
    <row r="72">
      <c r="A72" s="7" t="s">
        <v>257</v>
      </c>
      <c r="B72" s="7" t="s">
        <v>258</v>
      </c>
      <c r="C72" s="7" t="s">
        <v>259</v>
      </c>
      <c r="D72" s="7" t="s">
        <v>249</v>
      </c>
      <c r="E72" s="8">
        <v>9.57</v>
      </c>
      <c r="F72" s="8">
        <v>5.83</v>
      </c>
      <c r="G72" s="7">
        <v>30.091</v>
      </c>
      <c r="H72" s="7">
        <v>11.602</v>
      </c>
      <c r="I72" s="7">
        <v>5.9</v>
      </c>
      <c r="J72" s="7" t="s">
        <v>51</v>
      </c>
      <c r="K72" s="9">
        <v>0.051</v>
      </c>
      <c r="L72" s="9">
        <v>0.0398</v>
      </c>
      <c r="M72" s="9">
        <v>1.077</v>
      </c>
      <c r="N72" s="7">
        <v>-1.4</v>
      </c>
      <c r="O72" s="7">
        <v>39.632</v>
      </c>
      <c r="P72" s="7">
        <v>35.817</v>
      </c>
      <c r="Q72" s="7">
        <v>7.598</v>
      </c>
      <c r="R72" s="7">
        <v>11.771</v>
      </c>
      <c r="S72" s="7">
        <v>12.372</v>
      </c>
      <c r="T72" s="7">
        <v>10.701</v>
      </c>
      <c r="U72" s="7">
        <v>-1.836</v>
      </c>
      <c r="V72" s="7">
        <v>0.748</v>
      </c>
      <c r="W72" s="7" t="s">
        <v>59</v>
      </c>
      <c r="X72" s="7" t="s">
        <v>59</v>
      </c>
      <c r="Y72" s="7" t="s">
        <v>41</v>
      </c>
      <c r="Z72" s="7" t="s">
        <v>59</v>
      </c>
      <c r="AA72" s="7" t="s">
        <v>41</v>
      </c>
      <c r="AB72" s="7" t="s">
        <v>41</v>
      </c>
      <c r="AC72" s="7">
        <v>21.0</v>
      </c>
      <c r="AD72" s="7">
        <v>2.2</v>
      </c>
      <c r="AE72" s="7">
        <v>9.8</v>
      </c>
      <c r="AF72" s="7">
        <v>8.6</v>
      </c>
      <c r="AG72" s="7">
        <v>3.0</v>
      </c>
    </row>
    <row r="73">
      <c r="A73" s="7" t="s">
        <v>260</v>
      </c>
      <c r="B73" s="7" t="s">
        <v>261</v>
      </c>
      <c r="C73" s="7" t="s">
        <v>262</v>
      </c>
      <c r="D73" s="7" t="s">
        <v>33</v>
      </c>
      <c r="E73" s="8">
        <v>29.5119</v>
      </c>
      <c r="F73" s="8">
        <v>4.245</v>
      </c>
      <c r="G73" s="7">
        <v>24.223</v>
      </c>
      <c r="H73" s="7">
        <v>18.955</v>
      </c>
      <c r="I73" s="7">
        <v>3.06</v>
      </c>
      <c r="J73" s="9">
        <v>0.0707</v>
      </c>
      <c r="K73" s="9">
        <v>0.0571</v>
      </c>
      <c r="L73" s="9">
        <v>0.038</v>
      </c>
      <c r="M73" s="9">
        <v>0.1902</v>
      </c>
      <c r="N73" s="7">
        <v>1.38</v>
      </c>
      <c r="O73" s="7">
        <v>48.69</v>
      </c>
      <c r="P73" s="7">
        <v>48.42</v>
      </c>
      <c r="Q73" s="7">
        <v>43.08</v>
      </c>
      <c r="R73" s="7">
        <v>39.28</v>
      </c>
      <c r="S73" s="7">
        <v>15.85</v>
      </c>
      <c r="T73" s="7">
        <v>15.92</v>
      </c>
      <c r="U73" s="7">
        <v>15.92</v>
      </c>
      <c r="V73" s="7">
        <v>12.39</v>
      </c>
      <c r="W73" s="7" t="s">
        <v>34</v>
      </c>
      <c r="X73" s="7" t="s">
        <v>34</v>
      </c>
      <c r="Y73" s="7" t="s">
        <v>41</v>
      </c>
      <c r="Z73" s="7" t="s">
        <v>41</v>
      </c>
      <c r="AA73" s="7" t="s">
        <v>41</v>
      </c>
      <c r="AB73" s="7" t="s">
        <v>41</v>
      </c>
      <c r="AC73" s="7">
        <v>17.0</v>
      </c>
      <c r="AD73" s="7">
        <v>1.6</v>
      </c>
      <c r="AE73" s="7">
        <v>9.2</v>
      </c>
      <c r="AF73" s="7">
        <v>6.6</v>
      </c>
      <c r="AG73" s="7">
        <v>2.0</v>
      </c>
    </row>
    <row r="74">
      <c r="A74" s="7" t="s">
        <v>263</v>
      </c>
      <c r="B74" s="7" t="s">
        <v>264</v>
      </c>
      <c r="C74" s="7" t="s">
        <v>265</v>
      </c>
      <c r="D74" s="7" t="s">
        <v>33</v>
      </c>
      <c r="E74" s="8">
        <v>10.45</v>
      </c>
      <c r="F74" s="8">
        <v>10.05</v>
      </c>
      <c r="G74" s="7">
        <v>1.035</v>
      </c>
      <c r="H74" s="7">
        <v>0.77326</v>
      </c>
      <c r="I74" s="7">
        <v>14.55</v>
      </c>
      <c r="J74" s="7" t="s">
        <v>51</v>
      </c>
      <c r="K74" s="9">
        <v>-0.0352</v>
      </c>
      <c r="L74" s="9">
        <v>-0.0257</v>
      </c>
      <c r="M74" s="9">
        <v>-0.0655</v>
      </c>
      <c r="N74" s="7">
        <v>0.59</v>
      </c>
      <c r="O74" s="7">
        <v>1.55</v>
      </c>
      <c r="P74" s="7">
        <v>1.63</v>
      </c>
      <c r="Q74" s="7">
        <v>1.39</v>
      </c>
      <c r="R74" s="7">
        <v>1.46</v>
      </c>
      <c r="S74" s="7">
        <v>0.10834</v>
      </c>
      <c r="T74" s="7">
        <v>0.16743</v>
      </c>
      <c r="U74" s="7">
        <v>0.12373</v>
      </c>
      <c r="V74" s="7">
        <v>0.15536</v>
      </c>
      <c r="W74" s="7" t="s">
        <v>52</v>
      </c>
      <c r="X74" s="7" t="s">
        <v>266</v>
      </c>
      <c r="Y74" s="7" t="s">
        <v>41</v>
      </c>
      <c r="Z74" s="7" t="s">
        <v>41</v>
      </c>
      <c r="AA74" s="7" t="s">
        <v>41</v>
      </c>
      <c r="AB74" s="7" t="s">
        <v>41</v>
      </c>
      <c r="AC74" s="7" t="s">
        <v>41</v>
      </c>
      <c r="AD74" s="7" t="s">
        <v>41</v>
      </c>
      <c r="AE74" s="7" t="s">
        <v>41</v>
      </c>
      <c r="AF74" s="7" t="s">
        <v>41</v>
      </c>
      <c r="AG74" s="7" t="s">
        <v>41</v>
      </c>
    </row>
    <row r="75">
      <c r="A75" s="7" t="s">
        <v>267</v>
      </c>
      <c r="B75" s="7" t="s">
        <v>268</v>
      </c>
      <c r="C75" s="7" t="s">
        <v>269</v>
      </c>
      <c r="D75" s="7" t="s">
        <v>33</v>
      </c>
      <c r="E75" s="8">
        <v>37.9</v>
      </c>
      <c r="F75" s="8">
        <v>31.12</v>
      </c>
      <c r="G75" s="7">
        <v>6.761</v>
      </c>
      <c r="H75" s="7">
        <v>0.413416</v>
      </c>
      <c r="I75" s="7">
        <v>13.13</v>
      </c>
      <c r="J75" s="7" t="s">
        <v>51</v>
      </c>
      <c r="K75" s="9">
        <v>0.0258</v>
      </c>
      <c r="L75" s="9">
        <v>0.0183</v>
      </c>
      <c r="M75" s="9">
        <v>-0.015</v>
      </c>
      <c r="N75" s="7">
        <v>2.47</v>
      </c>
      <c r="O75" s="7">
        <v>3.253</v>
      </c>
      <c r="P75" s="7">
        <v>3.032</v>
      </c>
      <c r="Q75" s="7">
        <v>3.474</v>
      </c>
      <c r="R75" s="7">
        <v>6.319</v>
      </c>
      <c r="S75" s="7">
        <v>0.929</v>
      </c>
      <c r="T75" s="7">
        <v>0.748</v>
      </c>
      <c r="U75" s="7">
        <v>0.87</v>
      </c>
      <c r="V75" s="7">
        <v>2.527</v>
      </c>
      <c r="W75" s="7" t="s">
        <v>41</v>
      </c>
      <c r="X75" s="7" t="s">
        <v>41</v>
      </c>
      <c r="Y75" s="7" t="s">
        <v>41</v>
      </c>
      <c r="Z75" s="7" t="s">
        <v>41</v>
      </c>
      <c r="AA75" s="7" t="s">
        <v>41</v>
      </c>
      <c r="AB75" s="7" t="s">
        <v>41</v>
      </c>
      <c r="AC75" s="7" t="s">
        <v>41</v>
      </c>
      <c r="AD75" s="7" t="s">
        <v>41</v>
      </c>
      <c r="AE75" s="7" t="s">
        <v>41</v>
      </c>
      <c r="AF75" s="7" t="s">
        <v>41</v>
      </c>
      <c r="AG75" s="7" t="s">
        <v>41</v>
      </c>
    </row>
    <row r="76">
      <c r="A76" s="7" t="s">
        <v>270</v>
      </c>
      <c r="B76" s="7" t="s">
        <v>271</v>
      </c>
      <c r="C76" s="7" t="s">
        <v>272</v>
      </c>
      <c r="D76" s="7" t="s">
        <v>146</v>
      </c>
      <c r="E76" s="8">
        <v>3280.0</v>
      </c>
      <c r="F76" s="8">
        <v>5123.0</v>
      </c>
      <c r="G76" s="7">
        <v>1274.0</v>
      </c>
      <c r="H76" s="7">
        <v>1.43</v>
      </c>
      <c r="I76" s="7" t="s">
        <v>41</v>
      </c>
      <c r="J76" s="9">
        <v>0.0191</v>
      </c>
      <c r="K76" s="9">
        <v>0.0143</v>
      </c>
      <c r="L76" s="9">
        <v>0.0113</v>
      </c>
      <c r="M76" s="9">
        <v>0.032</v>
      </c>
      <c r="N76" s="7">
        <v>-1219.71</v>
      </c>
      <c r="O76" s="7">
        <v>1500.0</v>
      </c>
      <c r="P76" s="7">
        <v>1530.0</v>
      </c>
      <c r="Q76" s="7">
        <v>1510.0</v>
      </c>
      <c r="R76" s="7">
        <v>898.17</v>
      </c>
      <c r="S76" s="7">
        <v>356.13</v>
      </c>
      <c r="T76" s="7">
        <v>361.33</v>
      </c>
      <c r="U76" s="7">
        <v>332.27</v>
      </c>
      <c r="V76" s="7">
        <v>-70.88</v>
      </c>
      <c r="W76" s="7" t="s">
        <v>42</v>
      </c>
      <c r="X76" s="7" t="s">
        <v>43</v>
      </c>
      <c r="Y76" s="7" t="s">
        <v>41</v>
      </c>
      <c r="Z76" s="7" t="s">
        <v>41</v>
      </c>
      <c r="AA76" s="7" t="s">
        <v>59</v>
      </c>
      <c r="AB76" s="7" t="s">
        <v>59</v>
      </c>
      <c r="AC76" s="7">
        <v>25.0</v>
      </c>
      <c r="AD76" s="7">
        <v>8.6</v>
      </c>
      <c r="AE76" s="7">
        <v>10.8</v>
      </c>
      <c r="AF76" s="7">
        <v>5.3</v>
      </c>
      <c r="AG76" s="7">
        <v>1.0</v>
      </c>
    </row>
    <row r="77">
      <c r="A77" s="7" t="s">
        <v>273</v>
      </c>
      <c r="B77" s="7" t="s">
        <v>274</v>
      </c>
      <c r="C77" s="7" t="s">
        <v>275</v>
      </c>
      <c r="D77" s="7" t="s">
        <v>40</v>
      </c>
      <c r="E77" s="8">
        <v>10.1</v>
      </c>
      <c r="F77" s="8">
        <v>14.42</v>
      </c>
      <c r="G77" s="7">
        <v>0.720872</v>
      </c>
      <c r="H77" s="7">
        <v>0.273515</v>
      </c>
      <c r="I77" s="7" t="s">
        <v>41</v>
      </c>
      <c r="J77" s="7" t="s">
        <v>51</v>
      </c>
      <c r="K77" s="9">
        <v>-0.0957</v>
      </c>
      <c r="L77" s="9">
        <v>-0.0654</v>
      </c>
      <c r="M77" s="9">
        <v>-0.1504</v>
      </c>
      <c r="N77" s="7">
        <v>-2.49</v>
      </c>
      <c r="O77" s="7">
        <v>0.30973</v>
      </c>
      <c r="P77" s="7">
        <v>0.34309</v>
      </c>
      <c r="Q77" s="7">
        <v>0.08236</v>
      </c>
      <c r="R77" s="7">
        <v>0.14711</v>
      </c>
      <c r="S77" s="7">
        <v>0.04711</v>
      </c>
      <c r="T77" s="7">
        <v>0.05906</v>
      </c>
      <c r="U77" s="7">
        <v>-0.05627</v>
      </c>
      <c r="V77" s="7">
        <v>-0.07029</v>
      </c>
      <c r="W77" s="7" t="s">
        <v>41</v>
      </c>
      <c r="X77" s="7" t="s">
        <v>41</v>
      </c>
      <c r="Y77" s="7" t="s">
        <v>41</v>
      </c>
      <c r="Z77" s="7" t="s">
        <v>41</v>
      </c>
      <c r="AA77" s="7" t="s">
        <v>41</v>
      </c>
      <c r="AB77" s="7" t="s">
        <v>41</v>
      </c>
      <c r="AC77" s="7" t="s">
        <v>41</v>
      </c>
      <c r="AD77" s="7" t="s">
        <v>41</v>
      </c>
      <c r="AE77" s="7" t="s">
        <v>41</v>
      </c>
      <c r="AF77" s="7" t="s">
        <v>41</v>
      </c>
      <c r="AG77" s="7" t="s">
        <v>41</v>
      </c>
    </row>
    <row r="78">
      <c r="A78" s="7" t="s">
        <v>276</v>
      </c>
      <c r="B78" s="7" t="s">
        <v>277</v>
      </c>
      <c r="C78" s="7" t="s">
        <v>278</v>
      </c>
      <c r="D78" s="7" t="s">
        <v>124</v>
      </c>
      <c r="E78" s="8">
        <v>225.2</v>
      </c>
      <c r="F78" s="8">
        <v>216.0</v>
      </c>
      <c r="G78" s="7">
        <v>5.621</v>
      </c>
      <c r="H78" s="7">
        <v>8.442</v>
      </c>
      <c r="I78" s="7">
        <v>67.56</v>
      </c>
      <c r="J78" s="9">
        <v>0.086</v>
      </c>
      <c r="K78" s="7" t="s">
        <v>51</v>
      </c>
      <c r="L78" s="9">
        <v>0.0038</v>
      </c>
      <c r="M78" s="9">
        <v>0.1205</v>
      </c>
      <c r="N78" s="7">
        <v>0.03</v>
      </c>
      <c r="O78" s="7">
        <v>-2.89</v>
      </c>
      <c r="P78" s="7">
        <v>32.67</v>
      </c>
      <c r="Q78" s="7">
        <v>15.76</v>
      </c>
      <c r="R78" s="7">
        <v>17.41</v>
      </c>
      <c r="S78" s="7" t="s">
        <v>41</v>
      </c>
      <c r="T78" s="7" t="s">
        <v>41</v>
      </c>
      <c r="U78" s="7" t="s">
        <v>41</v>
      </c>
      <c r="V78" s="7" t="s">
        <v>41</v>
      </c>
      <c r="W78" s="7" t="s">
        <v>35</v>
      </c>
      <c r="X78" s="7" t="s">
        <v>43</v>
      </c>
      <c r="Y78" s="7" t="s">
        <v>41</v>
      </c>
      <c r="Z78" s="7" t="s">
        <v>41</v>
      </c>
      <c r="AA78" s="7" t="s">
        <v>41</v>
      </c>
      <c r="AB78" s="7" t="s">
        <v>41</v>
      </c>
      <c r="AC78" s="7" t="s">
        <v>41</v>
      </c>
      <c r="AD78" s="7" t="s">
        <v>41</v>
      </c>
      <c r="AE78" s="7" t="s">
        <v>41</v>
      </c>
      <c r="AF78" s="7" t="s">
        <v>41</v>
      </c>
      <c r="AG78" s="7" t="s">
        <v>41</v>
      </c>
    </row>
    <row r="79">
      <c r="A79" s="7" t="s">
        <v>279</v>
      </c>
      <c r="B79" s="7" t="s">
        <v>280</v>
      </c>
      <c r="C79" s="7" t="s">
        <v>281</v>
      </c>
      <c r="D79" s="7" t="s">
        <v>33</v>
      </c>
      <c r="E79" s="8">
        <v>9.5</v>
      </c>
      <c r="F79" s="8">
        <v>4.98</v>
      </c>
      <c r="G79" s="7">
        <v>0.181511</v>
      </c>
      <c r="H79" s="7">
        <v>0.007399</v>
      </c>
      <c r="I79" s="7">
        <v>34.93</v>
      </c>
      <c r="J79" s="7" t="s">
        <v>51</v>
      </c>
      <c r="K79" s="9">
        <v>0.0161</v>
      </c>
      <c r="L79" s="9">
        <v>0.0127</v>
      </c>
      <c r="M79" s="9">
        <v>0.0339</v>
      </c>
      <c r="N79" s="7">
        <v>0.14</v>
      </c>
      <c r="O79" s="7">
        <v>0.41258</v>
      </c>
      <c r="P79" s="7">
        <v>0.43762</v>
      </c>
      <c r="Q79" s="7">
        <v>0.30573</v>
      </c>
      <c r="R79" s="7">
        <v>0.33661</v>
      </c>
      <c r="S79" s="7">
        <v>0.07032</v>
      </c>
      <c r="T79" s="7">
        <v>0.08029</v>
      </c>
      <c r="U79" s="7">
        <v>0.04615</v>
      </c>
      <c r="V79" s="7">
        <v>0.04571</v>
      </c>
      <c r="W79" s="7" t="s">
        <v>59</v>
      </c>
      <c r="X79" s="7" t="s">
        <v>41</v>
      </c>
      <c r="Y79" s="7" t="s">
        <v>41</v>
      </c>
      <c r="Z79" s="7" t="s">
        <v>41</v>
      </c>
      <c r="AA79" s="7" t="s">
        <v>41</v>
      </c>
      <c r="AB79" s="7" t="s">
        <v>41</v>
      </c>
      <c r="AC79" s="7" t="s">
        <v>41</v>
      </c>
      <c r="AD79" s="7" t="s">
        <v>41</v>
      </c>
      <c r="AE79" s="7" t="s">
        <v>41</v>
      </c>
      <c r="AF79" s="7" t="s">
        <v>41</v>
      </c>
      <c r="AG79" s="7" t="s">
        <v>41</v>
      </c>
    </row>
    <row r="80">
      <c r="A80" s="7" t="s">
        <v>282</v>
      </c>
      <c r="B80" s="7" t="s">
        <v>283</v>
      </c>
      <c r="C80" s="7" t="s">
        <v>284</v>
      </c>
      <c r="D80" s="7" t="s">
        <v>33</v>
      </c>
      <c r="E80" s="8">
        <v>17.03</v>
      </c>
      <c r="F80" s="8">
        <v>23.4</v>
      </c>
      <c r="G80" s="7">
        <v>0.388333</v>
      </c>
      <c r="H80" s="7">
        <v>0.021835</v>
      </c>
      <c r="I80" s="7" t="s">
        <v>41</v>
      </c>
      <c r="J80" s="7" t="s">
        <v>51</v>
      </c>
      <c r="K80" s="9">
        <v>0.0505</v>
      </c>
      <c r="L80" s="9">
        <v>0.0295</v>
      </c>
      <c r="M80" s="9">
        <v>0.0902</v>
      </c>
      <c r="N80" s="7">
        <v>-6.28</v>
      </c>
      <c r="O80" s="7">
        <v>1.23</v>
      </c>
      <c r="P80" s="7">
        <v>1.25</v>
      </c>
      <c r="Q80" s="7">
        <v>1.03</v>
      </c>
      <c r="R80" s="7" t="s">
        <v>41</v>
      </c>
      <c r="S80" s="7">
        <v>0.1111</v>
      </c>
      <c r="T80" s="7">
        <v>0.086</v>
      </c>
      <c r="U80" s="7">
        <v>-0.0272</v>
      </c>
      <c r="V80" s="7" t="s">
        <v>41</v>
      </c>
      <c r="W80" s="7" t="s">
        <v>59</v>
      </c>
      <c r="X80" s="7" t="s">
        <v>41</v>
      </c>
      <c r="Y80" s="7" t="s">
        <v>41</v>
      </c>
      <c r="Z80" s="7" t="s">
        <v>41</v>
      </c>
      <c r="AA80" s="7" t="s">
        <v>41</v>
      </c>
      <c r="AB80" s="7" t="s">
        <v>41</v>
      </c>
      <c r="AC80" s="7" t="s">
        <v>41</v>
      </c>
      <c r="AD80" s="7" t="s">
        <v>41</v>
      </c>
      <c r="AE80" s="7" t="s">
        <v>41</v>
      </c>
      <c r="AF80" s="7" t="s">
        <v>41</v>
      </c>
      <c r="AG80" s="7" t="s">
        <v>41</v>
      </c>
    </row>
    <row r="81">
      <c r="A81" s="7" t="s">
        <v>285</v>
      </c>
      <c r="B81" s="7" t="s">
        <v>286</v>
      </c>
      <c r="C81" s="7" t="s">
        <v>287</v>
      </c>
      <c r="D81" s="7" t="s">
        <v>124</v>
      </c>
      <c r="E81" s="8">
        <v>1312.0</v>
      </c>
      <c r="F81" s="8">
        <v>2635.0</v>
      </c>
      <c r="G81" s="7">
        <v>3.522</v>
      </c>
      <c r="H81" s="7">
        <v>0.675662</v>
      </c>
      <c r="I81" s="7" t="s">
        <v>41</v>
      </c>
      <c r="J81" s="7" t="s">
        <v>51</v>
      </c>
      <c r="K81" s="9">
        <v>0.0306</v>
      </c>
      <c r="L81" s="9">
        <v>0.0217</v>
      </c>
      <c r="M81" s="9">
        <v>0.0678</v>
      </c>
      <c r="N81" s="7">
        <v>-5.56</v>
      </c>
      <c r="O81" s="7">
        <v>1.948</v>
      </c>
      <c r="P81" s="7">
        <v>2.319</v>
      </c>
      <c r="Q81" s="7">
        <v>2.761</v>
      </c>
      <c r="R81" s="7">
        <v>0.739</v>
      </c>
      <c r="S81" s="7">
        <v>0.383</v>
      </c>
      <c r="T81" s="7">
        <v>0.393</v>
      </c>
      <c r="U81" s="7">
        <v>0.783</v>
      </c>
      <c r="V81" s="7">
        <v>-0.183</v>
      </c>
      <c r="W81" s="7" t="s">
        <v>59</v>
      </c>
      <c r="X81" s="7" t="s">
        <v>52</v>
      </c>
      <c r="Y81" s="7" t="s">
        <v>41</v>
      </c>
      <c r="Z81" s="7" t="s">
        <v>41</v>
      </c>
      <c r="AA81" s="7" t="s">
        <v>41</v>
      </c>
      <c r="AB81" s="7" t="s">
        <v>41</v>
      </c>
      <c r="AC81" s="7" t="s">
        <v>41</v>
      </c>
      <c r="AD81" s="7" t="s">
        <v>41</v>
      </c>
      <c r="AE81" s="7" t="s">
        <v>41</v>
      </c>
      <c r="AF81" s="7" t="s">
        <v>41</v>
      </c>
      <c r="AG81" s="7" t="s">
        <v>41</v>
      </c>
    </row>
    <row r="82">
      <c r="A82" s="7" t="s">
        <v>288</v>
      </c>
      <c r="B82" s="7" t="s">
        <v>289</v>
      </c>
      <c r="C82" s="7" t="s">
        <v>290</v>
      </c>
      <c r="D82" s="7" t="s">
        <v>33</v>
      </c>
      <c r="E82" s="8">
        <v>12.6</v>
      </c>
      <c r="F82" s="8">
        <v>18.08</v>
      </c>
      <c r="G82" s="7">
        <v>14.89</v>
      </c>
      <c r="H82" s="7">
        <v>1.463</v>
      </c>
      <c r="I82" s="7">
        <v>1136.56</v>
      </c>
      <c r="J82" s="7" t="s">
        <v>51</v>
      </c>
      <c r="K82" s="7" t="s">
        <v>51</v>
      </c>
      <c r="L82" s="7" t="s">
        <v>51</v>
      </c>
      <c r="M82" s="7" t="s">
        <v>51</v>
      </c>
      <c r="N82" s="7">
        <v>-0.37</v>
      </c>
      <c r="O82" s="7">
        <v>7.427</v>
      </c>
      <c r="P82" s="7">
        <v>12.615</v>
      </c>
      <c r="Q82" s="7">
        <v>5.26</v>
      </c>
      <c r="R82" s="7">
        <v>6.391</v>
      </c>
      <c r="S82" s="7">
        <v>3.768</v>
      </c>
      <c r="T82" s="7">
        <v>7.203</v>
      </c>
      <c r="U82" s="7">
        <v>3.701</v>
      </c>
      <c r="V82" s="7">
        <v>4.029</v>
      </c>
      <c r="W82" s="7" t="s">
        <v>43</v>
      </c>
      <c r="X82" s="7" t="s">
        <v>43</v>
      </c>
      <c r="Y82" s="7" t="s">
        <v>41</v>
      </c>
      <c r="Z82" s="7" t="s">
        <v>41</v>
      </c>
      <c r="AA82" s="7" t="s">
        <v>41</v>
      </c>
      <c r="AB82" s="7" t="s">
        <v>41</v>
      </c>
      <c r="AC82" s="7">
        <v>15.0</v>
      </c>
      <c r="AD82" s="7">
        <v>0.9</v>
      </c>
      <c r="AE82" s="7">
        <v>9.5</v>
      </c>
      <c r="AF82" s="7">
        <v>4.2</v>
      </c>
      <c r="AG82" s="7">
        <v>5.0</v>
      </c>
    </row>
    <row r="83">
      <c r="A83" s="7" t="s">
        <v>291</v>
      </c>
      <c r="B83" s="7" t="s">
        <v>292</v>
      </c>
      <c r="C83" s="7" t="s">
        <v>293</v>
      </c>
      <c r="D83" s="7" t="s">
        <v>33</v>
      </c>
      <c r="E83" s="8">
        <v>5.105</v>
      </c>
      <c r="F83" s="8">
        <v>4.543</v>
      </c>
      <c r="G83" s="7">
        <v>9.319</v>
      </c>
      <c r="H83" s="7">
        <v>11.535</v>
      </c>
      <c r="I83" s="7">
        <v>5.95</v>
      </c>
      <c r="J83" s="9">
        <v>0.0374</v>
      </c>
      <c r="K83" s="7" t="s">
        <v>51</v>
      </c>
      <c r="L83" s="9">
        <v>0.003</v>
      </c>
      <c r="M83" s="9">
        <v>0.048</v>
      </c>
      <c r="N83" s="7">
        <v>0.78</v>
      </c>
      <c r="O83" s="7">
        <v>20.819</v>
      </c>
      <c r="P83" s="7">
        <v>67.489</v>
      </c>
      <c r="Q83" s="7">
        <v>51.346</v>
      </c>
      <c r="R83" s="7">
        <v>52.977</v>
      </c>
      <c r="S83" s="7" t="s">
        <v>41</v>
      </c>
      <c r="T83" s="7" t="s">
        <v>41</v>
      </c>
      <c r="U83" s="7" t="s">
        <v>41</v>
      </c>
      <c r="V83" s="7" t="s">
        <v>41</v>
      </c>
      <c r="W83" s="7" t="s">
        <v>52</v>
      </c>
      <c r="X83" s="7" t="s">
        <v>52</v>
      </c>
      <c r="Y83" s="7" t="s">
        <v>41</v>
      </c>
      <c r="Z83" s="7" t="s">
        <v>41</v>
      </c>
      <c r="AA83" s="7" t="s">
        <v>41</v>
      </c>
      <c r="AB83" s="7" t="s">
        <v>41</v>
      </c>
      <c r="AC83" s="7">
        <v>15.0</v>
      </c>
      <c r="AD83" s="7">
        <v>0.5</v>
      </c>
      <c r="AE83" s="7">
        <v>7.7</v>
      </c>
      <c r="AF83" s="7">
        <v>6.4</v>
      </c>
      <c r="AG83" s="7">
        <v>3.0</v>
      </c>
    </row>
    <row r="84">
      <c r="A84" s="7" t="s">
        <v>294</v>
      </c>
      <c r="B84" s="7" t="s">
        <v>295</v>
      </c>
      <c r="C84" s="7" t="s">
        <v>296</v>
      </c>
      <c r="D84" s="7" t="s">
        <v>33</v>
      </c>
      <c r="E84" s="8">
        <v>26.64</v>
      </c>
      <c r="F84" s="8">
        <v>29.02</v>
      </c>
      <c r="G84" s="7">
        <v>7.489</v>
      </c>
      <c r="H84" s="7">
        <v>0.881329</v>
      </c>
      <c r="I84" s="7">
        <v>149.74</v>
      </c>
      <c r="J84" s="7" t="s">
        <v>51</v>
      </c>
      <c r="K84" s="9">
        <v>-0.0283</v>
      </c>
      <c r="L84" s="9">
        <v>-0.0226</v>
      </c>
      <c r="M84" s="9">
        <v>-0.0591</v>
      </c>
      <c r="N84" s="7">
        <v>-0.1</v>
      </c>
      <c r="O84" s="7">
        <v>3.28</v>
      </c>
      <c r="P84" s="7">
        <v>4.05</v>
      </c>
      <c r="Q84" s="7">
        <v>1.62</v>
      </c>
      <c r="R84" s="7">
        <v>2.2</v>
      </c>
      <c r="S84" s="7">
        <v>0.625</v>
      </c>
      <c r="T84" s="7">
        <v>0.862</v>
      </c>
      <c r="U84" s="7">
        <v>-0.391</v>
      </c>
      <c r="V84" s="7" t="s">
        <v>41</v>
      </c>
      <c r="W84" s="7" t="s">
        <v>35</v>
      </c>
      <c r="X84" s="7" t="s">
        <v>35</v>
      </c>
      <c r="Y84" s="7" t="s">
        <v>41</v>
      </c>
      <c r="Z84" s="7" t="s">
        <v>41</v>
      </c>
      <c r="AA84" s="7" t="s">
        <v>59</v>
      </c>
      <c r="AB84" s="7" t="s">
        <v>43</v>
      </c>
      <c r="AC84" s="7">
        <v>18.0</v>
      </c>
      <c r="AD84" s="7">
        <v>6.8</v>
      </c>
      <c r="AE84" s="7">
        <v>7.2</v>
      </c>
      <c r="AF84" s="7">
        <v>4.3</v>
      </c>
      <c r="AG84" s="7">
        <v>2.0</v>
      </c>
    </row>
    <row r="85">
      <c r="A85" s="7" t="s">
        <v>297</v>
      </c>
      <c r="B85" s="7" t="s">
        <v>298</v>
      </c>
      <c r="C85" s="7" t="s">
        <v>299</v>
      </c>
      <c r="D85" s="7" t="s">
        <v>40</v>
      </c>
      <c r="E85" s="8">
        <v>4.0</v>
      </c>
      <c r="F85" s="8">
        <v>18.93</v>
      </c>
      <c r="G85" s="7">
        <v>21.436</v>
      </c>
      <c r="H85" s="7">
        <v>39.679</v>
      </c>
      <c r="I85" s="7" t="s">
        <v>41</v>
      </c>
      <c r="J85" s="7" t="s">
        <v>51</v>
      </c>
      <c r="K85" s="9">
        <v>-0.0599</v>
      </c>
      <c r="L85" s="9">
        <v>-0.0482</v>
      </c>
      <c r="M85" s="9">
        <v>-0.0982</v>
      </c>
      <c r="N85" s="7">
        <v>-8.46</v>
      </c>
      <c r="O85" s="7">
        <v>18.88</v>
      </c>
      <c r="P85" s="7">
        <v>20.83</v>
      </c>
      <c r="Q85" s="7">
        <v>5.6</v>
      </c>
      <c r="R85" s="7">
        <v>1.91</v>
      </c>
      <c r="S85" s="7">
        <v>5.34</v>
      </c>
      <c r="T85" s="7">
        <v>5.44</v>
      </c>
      <c r="U85" s="7">
        <v>-2.34</v>
      </c>
      <c r="V85" s="7">
        <v>-3.89</v>
      </c>
      <c r="W85" s="7" t="s">
        <v>52</v>
      </c>
      <c r="X85" s="7" t="s">
        <v>43</v>
      </c>
      <c r="Y85" s="7" t="s">
        <v>41</v>
      </c>
      <c r="Z85" s="7" t="s">
        <v>41</v>
      </c>
      <c r="AA85" s="7" t="s">
        <v>43</v>
      </c>
      <c r="AB85" s="7" t="s">
        <v>43</v>
      </c>
      <c r="AC85" s="7">
        <v>24.0</v>
      </c>
      <c r="AD85" s="7">
        <v>10.3</v>
      </c>
      <c r="AE85" s="7">
        <v>9.7</v>
      </c>
      <c r="AF85" s="7">
        <v>3.8</v>
      </c>
      <c r="AG85" s="7">
        <v>3.0</v>
      </c>
    </row>
    <row r="86">
      <c r="A86" s="7" t="s">
        <v>300</v>
      </c>
      <c r="B86" s="7" t="s">
        <v>301</v>
      </c>
      <c r="C86" s="7" t="s">
        <v>302</v>
      </c>
      <c r="D86" s="7" t="s">
        <v>40</v>
      </c>
      <c r="E86" s="8">
        <v>43.4</v>
      </c>
      <c r="F86" s="8">
        <v>39.02</v>
      </c>
      <c r="G86" s="7">
        <v>29.161</v>
      </c>
      <c r="H86" s="7">
        <v>9.458</v>
      </c>
      <c r="I86" s="7" t="s">
        <v>41</v>
      </c>
      <c r="J86" s="7" t="s">
        <v>51</v>
      </c>
      <c r="K86" s="9">
        <v>0.0631</v>
      </c>
      <c r="L86" s="9">
        <v>0.0516</v>
      </c>
      <c r="M86" s="9">
        <v>0.1932</v>
      </c>
      <c r="N86" s="7">
        <v>-1.51</v>
      </c>
      <c r="O86" s="7">
        <v>13.73</v>
      </c>
      <c r="P86" s="7">
        <v>13.74</v>
      </c>
      <c r="Q86" s="7">
        <v>2.94</v>
      </c>
      <c r="R86" s="7">
        <v>4.23</v>
      </c>
      <c r="S86" s="7">
        <v>5.02</v>
      </c>
      <c r="T86" s="7">
        <v>4.99</v>
      </c>
      <c r="U86" s="7">
        <v>-0.304</v>
      </c>
      <c r="V86" s="7">
        <v>0.398</v>
      </c>
      <c r="W86" s="7" t="s">
        <v>34</v>
      </c>
      <c r="X86" s="7" t="s">
        <v>34</v>
      </c>
      <c r="Y86" s="7" t="s">
        <v>41</v>
      </c>
      <c r="Z86" s="7" t="s">
        <v>41</v>
      </c>
      <c r="AA86" s="7" t="s">
        <v>34</v>
      </c>
      <c r="AB86" s="7" t="s">
        <v>34</v>
      </c>
      <c r="AC86" s="7">
        <v>18.0</v>
      </c>
      <c r="AD86" s="7">
        <v>1.6</v>
      </c>
      <c r="AE86" s="7">
        <v>8.0</v>
      </c>
      <c r="AF86" s="7">
        <v>8.3</v>
      </c>
      <c r="AG86" s="7">
        <v>2.0</v>
      </c>
    </row>
    <row r="87">
      <c r="A87" s="7" t="s">
        <v>303</v>
      </c>
      <c r="B87" s="7" t="s">
        <v>304</v>
      </c>
      <c r="C87" s="7" t="s">
        <v>305</v>
      </c>
      <c r="D87" s="7" t="s">
        <v>33</v>
      </c>
      <c r="E87" s="8">
        <v>13.64</v>
      </c>
      <c r="F87" s="8">
        <v>22.82</v>
      </c>
      <c r="G87" s="7">
        <v>4.883</v>
      </c>
      <c r="H87" s="7">
        <v>0.114027</v>
      </c>
      <c r="I87" s="7" t="s">
        <v>41</v>
      </c>
      <c r="J87" s="7" t="s">
        <v>51</v>
      </c>
      <c r="K87" s="9">
        <v>-0.0021</v>
      </c>
      <c r="L87" s="9">
        <v>-0.0016</v>
      </c>
      <c r="M87" s="9">
        <v>0.025</v>
      </c>
      <c r="N87" s="7">
        <v>-2.84</v>
      </c>
      <c r="O87" s="7">
        <v>3.18</v>
      </c>
      <c r="P87" s="7">
        <v>3.49</v>
      </c>
      <c r="Q87" s="7">
        <v>2.1</v>
      </c>
      <c r="R87" s="7">
        <v>2.52</v>
      </c>
      <c r="S87" s="7">
        <v>1.51</v>
      </c>
      <c r="T87" s="7">
        <v>1.7</v>
      </c>
      <c r="U87" s="7">
        <v>1.03</v>
      </c>
      <c r="V87" s="7">
        <v>1.15</v>
      </c>
      <c r="W87" s="7" t="s">
        <v>35</v>
      </c>
      <c r="X87" s="7" t="s">
        <v>34</v>
      </c>
      <c r="Y87" s="7" t="s">
        <v>41</v>
      </c>
      <c r="Z87" s="7" t="s">
        <v>41</v>
      </c>
      <c r="AA87" s="7" t="s">
        <v>41</v>
      </c>
      <c r="AB87" s="7" t="s">
        <v>41</v>
      </c>
      <c r="AC87" s="7">
        <v>16.0</v>
      </c>
      <c r="AD87" s="7">
        <v>0.1</v>
      </c>
      <c r="AE87" s="7">
        <v>8.9</v>
      </c>
      <c r="AF87" s="7">
        <v>6.6</v>
      </c>
      <c r="AG87" s="7">
        <v>1.0</v>
      </c>
    </row>
    <row r="88">
      <c r="A88" s="7" t="s">
        <v>306</v>
      </c>
      <c r="B88" s="7" t="s">
        <v>307</v>
      </c>
      <c r="C88" s="7" t="s">
        <v>308</v>
      </c>
      <c r="D88" s="7" t="s">
        <v>33</v>
      </c>
      <c r="E88" s="8">
        <v>19.9</v>
      </c>
      <c r="F88" s="8">
        <v>9.0</v>
      </c>
      <c r="G88" s="7">
        <v>0.234826</v>
      </c>
      <c r="H88" s="7">
        <v>0.006008</v>
      </c>
      <c r="I88" s="7" t="s">
        <v>41</v>
      </c>
      <c r="J88" s="7" t="s">
        <v>51</v>
      </c>
      <c r="K88" s="9">
        <v>-6.0E-4</v>
      </c>
      <c r="L88" s="9">
        <v>-3.0E-4</v>
      </c>
      <c r="M88" s="9">
        <v>-0.0043</v>
      </c>
      <c r="N88" s="7">
        <v>-0.46</v>
      </c>
      <c r="O88" s="7">
        <v>1.67</v>
      </c>
      <c r="P88" s="7">
        <v>1.59</v>
      </c>
      <c r="Q88" s="7">
        <v>1.47</v>
      </c>
      <c r="R88" s="7">
        <v>1.34</v>
      </c>
      <c r="S88" s="7">
        <v>0.20195</v>
      </c>
      <c r="T88" s="7">
        <v>0.22243</v>
      </c>
      <c r="U88" s="7">
        <v>0.13699</v>
      </c>
      <c r="V88" s="7">
        <v>0.16316</v>
      </c>
      <c r="W88" s="7" t="s">
        <v>41</v>
      </c>
      <c r="X88" s="7" t="s">
        <v>41</v>
      </c>
      <c r="Y88" s="7" t="s">
        <v>41</v>
      </c>
      <c r="Z88" s="7" t="s">
        <v>41</v>
      </c>
      <c r="AA88" s="7" t="s">
        <v>41</v>
      </c>
      <c r="AB88" s="7" t="s">
        <v>41</v>
      </c>
      <c r="AC88" s="7" t="s">
        <v>41</v>
      </c>
      <c r="AD88" s="7" t="s">
        <v>41</v>
      </c>
      <c r="AE88" s="7" t="s">
        <v>41</v>
      </c>
      <c r="AF88" s="7" t="s">
        <v>41</v>
      </c>
      <c r="AG88" s="7" t="s">
        <v>41</v>
      </c>
    </row>
    <row r="89">
      <c r="A89" s="7" t="s">
        <v>309</v>
      </c>
      <c r="B89" s="7" t="s">
        <v>310</v>
      </c>
      <c r="C89" s="7" t="s">
        <v>311</v>
      </c>
      <c r="D89" s="7" t="s">
        <v>40</v>
      </c>
      <c r="E89" s="8">
        <v>29.81</v>
      </c>
      <c r="F89" s="8">
        <v>94.04</v>
      </c>
      <c r="G89" s="7">
        <v>10.248</v>
      </c>
      <c r="H89" s="7">
        <v>0.999921</v>
      </c>
      <c r="I89" s="7" t="s">
        <v>41</v>
      </c>
      <c r="J89" s="7" t="s">
        <v>51</v>
      </c>
      <c r="K89" s="9">
        <v>0.0285</v>
      </c>
      <c r="L89" s="9">
        <v>0.0247</v>
      </c>
      <c r="M89" s="9">
        <v>0.0576</v>
      </c>
      <c r="N89" s="7">
        <v>-2.14</v>
      </c>
      <c r="O89" s="7">
        <v>4.45</v>
      </c>
      <c r="P89" s="7">
        <v>5.02</v>
      </c>
      <c r="Q89" s="7">
        <v>2.07</v>
      </c>
      <c r="R89" s="7">
        <v>3.03</v>
      </c>
      <c r="S89" s="7">
        <v>0.6</v>
      </c>
      <c r="T89" s="7">
        <v>0.519</v>
      </c>
      <c r="U89" s="7">
        <v>-0.348</v>
      </c>
      <c r="V89" s="7">
        <v>0.076</v>
      </c>
      <c r="W89" s="7" t="s">
        <v>42</v>
      </c>
      <c r="X89" s="7" t="s">
        <v>266</v>
      </c>
      <c r="Y89" s="7" t="s">
        <v>41</v>
      </c>
      <c r="Z89" s="7" t="s">
        <v>41</v>
      </c>
      <c r="AA89" s="7" t="s">
        <v>41</v>
      </c>
      <c r="AB89" s="7" t="s">
        <v>41</v>
      </c>
      <c r="AC89" s="7">
        <v>28.0</v>
      </c>
      <c r="AD89" s="7">
        <v>11.8</v>
      </c>
      <c r="AE89" s="7">
        <v>10.8</v>
      </c>
      <c r="AF89" s="7">
        <v>5.3</v>
      </c>
      <c r="AG89" s="7">
        <v>2.0</v>
      </c>
    </row>
    <row r="90">
      <c r="J90" s="12"/>
      <c r="K90" s="12"/>
      <c r="L90" s="12"/>
      <c r="M90" s="12"/>
    </row>
    <row r="91">
      <c r="J91" s="12"/>
      <c r="K91" s="12"/>
      <c r="L91" s="12"/>
      <c r="M91" s="12"/>
    </row>
    <row r="92">
      <c r="J92" s="12"/>
      <c r="K92" s="12"/>
      <c r="L92" s="12"/>
      <c r="M92" s="12"/>
    </row>
    <row r="93">
      <c r="J93" s="12"/>
      <c r="K93" s="12"/>
      <c r="L93" s="12"/>
      <c r="M93" s="12"/>
    </row>
    <row r="94">
      <c r="J94" s="12"/>
      <c r="K94" s="12"/>
      <c r="L94" s="12"/>
      <c r="M94" s="12"/>
    </row>
    <row r="95">
      <c r="J95" s="12"/>
      <c r="K95" s="12"/>
      <c r="L95" s="12"/>
      <c r="M95" s="12"/>
    </row>
    <row r="96">
      <c r="J96" s="12"/>
      <c r="K96" s="12"/>
      <c r="L96" s="12"/>
      <c r="M96" s="12"/>
    </row>
    <row r="97">
      <c r="J97" s="12"/>
      <c r="K97" s="12"/>
      <c r="L97" s="12"/>
      <c r="M97" s="12"/>
    </row>
    <row r="98">
      <c r="J98" s="12"/>
      <c r="K98" s="12"/>
      <c r="L98" s="12"/>
      <c r="M98" s="12"/>
    </row>
    <row r="99">
      <c r="J99" s="12"/>
      <c r="K99" s="12"/>
      <c r="L99" s="12"/>
      <c r="M99" s="12"/>
    </row>
    <row r="100">
      <c r="J100" s="12"/>
      <c r="K100" s="12"/>
      <c r="L100" s="12"/>
      <c r="M100" s="12"/>
    </row>
    <row r="101">
      <c r="J101" s="12"/>
      <c r="K101" s="12"/>
      <c r="L101" s="12"/>
      <c r="M101" s="12"/>
    </row>
    <row r="102">
      <c r="J102" s="12"/>
      <c r="K102" s="12"/>
      <c r="L102" s="12"/>
      <c r="M102" s="12"/>
    </row>
    <row r="103">
      <c r="J103" s="12"/>
      <c r="K103" s="12"/>
      <c r="L103" s="12"/>
      <c r="M103" s="12"/>
    </row>
    <row r="104">
      <c r="J104" s="12"/>
      <c r="K104" s="12"/>
      <c r="L104" s="12"/>
      <c r="M104" s="12"/>
    </row>
    <row r="105">
      <c r="J105" s="12"/>
      <c r="K105" s="12"/>
      <c r="L105" s="12"/>
      <c r="M105" s="12"/>
    </row>
    <row r="106">
      <c r="J106" s="12"/>
      <c r="K106" s="12"/>
      <c r="L106" s="12"/>
      <c r="M106" s="12"/>
    </row>
    <row r="107">
      <c r="J107" s="12"/>
      <c r="K107" s="12"/>
      <c r="L107" s="12"/>
      <c r="M107" s="12"/>
    </row>
    <row r="108">
      <c r="J108" s="12"/>
      <c r="K108" s="12"/>
      <c r="L108" s="12"/>
      <c r="M108" s="12"/>
    </row>
    <row r="109">
      <c r="J109" s="12"/>
      <c r="K109" s="12"/>
      <c r="L109" s="12"/>
      <c r="M109" s="12"/>
    </row>
    <row r="110">
      <c r="J110" s="12"/>
      <c r="K110" s="12"/>
      <c r="L110" s="12"/>
      <c r="M110" s="12"/>
    </row>
    <row r="111">
      <c r="J111" s="12"/>
      <c r="K111" s="12"/>
      <c r="L111" s="12"/>
      <c r="M111" s="12"/>
    </row>
    <row r="112">
      <c r="J112" s="12"/>
      <c r="K112" s="12"/>
      <c r="L112" s="12"/>
      <c r="M112" s="12"/>
    </row>
    <row r="113">
      <c r="J113" s="12"/>
      <c r="K113" s="12"/>
      <c r="L113" s="12"/>
      <c r="M113" s="12"/>
    </row>
    <row r="114">
      <c r="J114" s="12"/>
      <c r="K114" s="12"/>
      <c r="L114" s="12"/>
      <c r="M114" s="12"/>
    </row>
    <row r="115">
      <c r="J115" s="12"/>
      <c r="K115" s="12"/>
      <c r="L115" s="12"/>
      <c r="M115" s="12"/>
    </row>
    <row r="116">
      <c r="J116" s="12"/>
      <c r="K116" s="12"/>
      <c r="L116" s="12"/>
      <c r="M116" s="12"/>
    </row>
    <row r="117">
      <c r="J117" s="12"/>
      <c r="K117" s="12"/>
      <c r="L117" s="12"/>
      <c r="M117" s="12"/>
    </row>
    <row r="118">
      <c r="J118" s="12"/>
      <c r="K118" s="12"/>
      <c r="L118" s="12"/>
      <c r="M118" s="12"/>
    </row>
    <row r="119">
      <c r="J119" s="12"/>
      <c r="K119" s="12"/>
      <c r="L119" s="12"/>
      <c r="M119" s="12"/>
    </row>
    <row r="120">
      <c r="J120" s="12"/>
      <c r="K120" s="12"/>
      <c r="L120" s="12"/>
      <c r="M120" s="12"/>
    </row>
    <row r="121">
      <c r="J121" s="12"/>
      <c r="K121" s="12"/>
      <c r="L121" s="12"/>
      <c r="M121" s="12"/>
    </row>
    <row r="122">
      <c r="J122" s="12"/>
      <c r="K122" s="12"/>
      <c r="L122" s="12"/>
      <c r="M122" s="12"/>
    </row>
    <row r="123">
      <c r="J123" s="12"/>
      <c r="K123" s="12"/>
      <c r="L123" s="12"/>
      <c r="M123" s="12"/>
    </row>
    <row r="124">
      <c r="J124" s="12"/>
      <c r="K124" s="12"/>
      <c r="L124" s="12"/>
      <c r="M124" s="12"/>
    </row>
    <row r="125">
      <c r="J125" s="12"/>
      <c r="K125" s="12"/>
      <c r="L125" s="12"/>
      <c r="M125" s="12"/>
    </row>
    <row r="126">
      <c r="J126" s="12"/>
      <c r="K126" s="12"/>
      <c r="L126" s="12"/>
      <c r="M126" s="12"/>
    </row>
    <row r="127">
      <c r="J127" s="12"/>
      <c r="K127" s="12"/>
      <c r="L127" s="12"/>
      <c r="M127" s="12"/>
    </row>
    <row r="128">
      <c r="J128" s="12"/>
      <c r="K128" s="12"/>
      <c r="L128" s="12"/>
      <c r="M128" s="12"/>
    </row>
    <row r="129">
      <c r="J129" s="12"/>
      <c r="K129" s="12"/>
      <c r="L129" s="12"/>
      <c r="M129" s="12"/>
    </row>
    <row r="130">
      <c r="J130" s="12"/>
      <c r="K130" s="12"/>
      <c r="L130" s="12"/>
      <c r="M130" s="12"/>
    </row>
    <row r="131">
      <c r="J131" s="12"/>
      <c r="K131" s="12"/>
      <c r="L131" s="12"/>
      <c r="M131" s="12"/>
    </row>
    <row r="132">
      <c r="J132" s="12"/>
      <c r="K132" s="12"/>
      <c r="L132" s="12"/>
      <c r="M132" s="12"/>
    </row>
    <row r="133">
      <c r="J133" s="12"/>
      <c r="K133" s="12"/>
      <c r="L133" s="12"/>
      <c r="M133" s="12"/>
    </row>
    <row r="134">
      <c r="J134" s="12"/>
      <c r="K134" s="12"/>
      <c r="L134" s="12"/>
      <c r="M134" s="12"/>
    </row>
    <row r="135">
      <c r="J135" s="12"/>
      <c r="K135" s="12"/>
      <c r="L135" s="12"/>
      <c r="M135" s="12"/>
    </row>
    <row r="136">
      <c r="J136" s="12"/>
      <c r="K136" s="12"/>
      <c r="L136" s="12"/>
      <c r="M136" s="12"/>
    </row>
    <row r="137">
      <c r="J137" s="12"/>
      <c r="K137" s="12"/>
      <c r="L137" s="12"/>
      <c r="M137" s="12"/>
    </row>
    <row r="138">
      <c r="J138" s="12"/>
      <c r="K138" s="12"/>
      <c r="L138" s="12"/>
      <c r="M138" s="12"/>
    </row>
    <row r="139">
      <c r="J139" s="12"/>
      <c r="K139" s="12"/>
      <c r="L139" s="12"/>
      <c r="M139" s="12"/>
    </row>
    <row r="140">
      <c r="J140" s="12"/>
      <c r="K140" s="12"/>
      <c r="L140" s="12"/>
      <c r="M140" s="12"/>
    </row>
    <row r="141">
      <c r="J141" s="12"/>
      <c r="K141" s="12"/>
      <c r="L141" s="12"/>
      <c r="M141" s="12"/>
    </row>
    <row r="142">
      <c r="J142" s="12"/>
      <c r="K142" s="12"/>
      <c r="L142" s="12"/>
      <c r="M142" s="12"/>
    </row>
    <row r="143">
      <c r="J143" s="12"/>
      <c r="K143" s="12"/>
      <c r="L143" s="12"/>
      <c r="M143" s="12"/>
    </row>
    <row r="144">
      <c r="J144" s="12"/>
      <c r="K144" s="12"/>
      <c r="L144" s="12"/>
      <c r="M144" s="12"/>
    </row>
    <row r="145">
      <c r="J145" s="12"/>
      <c r="K145" s="12"/>
      <c r="L145" s="12"/>
      <c r="M145" s="12"/>
    </row>
    <row r="146">
      <c r="J146" s="12"/>
      <c r="K146" s="12"/>
      <c r="L146" s="12"/>
      <c r="M146" s="12"/>
    </row>
    <row r="147">
      <c r="J147" s="12"/>
      <c r="K147" s="12"/>
      <c r="L147" s="12"/>
      <c r="M147" s="12"/>
    </row>
    <row r="148">
      <c r="J148" s="12"/>
      <c r="K148" s="12"/>
      <c r="L148" s="12"/>
      <c r="M148" s="12"/>
    </row>
    <row r="149">
      <c r="J149" s="12"/>
      <c r="K149" s="12"/>
      <c r="L149" s="12"/>
      <c r="M149" s="12"/>
    </row>
    <row r="150">
      <c r="J150" s="12"/>
      <c r="K150" s="12"/>
      <c r="L150" s="12"/>
      <c r="M150" s="12"/>
    </row>
    <row r="151">
      <c r="J151" s="12"/>
      <c r="K151" s="12"/>
      <c r="L151" s="12"/>
      <c r="M151" s="12"/>
    </row>
    <row r="152">
      <c r="J152" s="12"/>
      <c r="K152" s="12"/>
      <c r="L152" s="12"/>
      <c r="M152" s="12"/>
    </row>
    <row r="153">
      <c r="J153" s="12"/>
      <c r="K153" s="12"/>
      <c r="L153" s="12"/>
      <c r="M153" s="12"/>
    </row>
    <row r="154">
      <c r="J154" s="12"/>
      <c r="K154" s="12"/>
      <c r="L154" s="12"/>
      <c r="M154" s="12"/>
    </row>
    <row r="155">
      <c r="J155" s="12"/>
      <c r="K155" s="12"/>
      <c r="L155" s="12"/>
      <c r="M155" s="12"/>
    </row>
    <row r="156">
      <c r="J156" s="12"/>
      <c r="K156" s="12"/>
      <c r="L156" s="12"/>
      <c r="M156" s="12"/>
    </row>
    <row r="157">
      <c r="J157" s="12"/>
      <c r="K157" s="12"/>
      <c r="L157" s="12"/>
      <c r="M157" s="12"/>
    </row>
    <row r="158">
      <c r="J158" s="12"/>
      <c r="K158" s="12"/>
      <c r="L158" s="12"/>
      <c r="M158" s="12"/>
    </row>
    <row r="159">
      <c r="J159" s="12"/>
      <c r="K159" s="12"/>
      <c r="L159" s="12"/>
      <c r="M159" s="12"/>
    </row>
    <row r="160">
      <c r="J160" s="12"/>
      <c r="K160" s="12"/>
      <c r="L160" s="12"/>
      <c r="M160" s="12"/>
    </row>
    <row r="161">
      <c r="J161" s="12"/>
      <c r="K161" s="12"/>
      <c r="L161" s="12"/>
      <c r="M161" s="12"/>
    </row>
    <row r="162">
      <c r="J162" s="12"/>
      <c r="K162" s="12"/>
      <c r="L162" s="12"/>
      <c r="M162" s="12"/>
    </row>
    <row r="163">
      <c r="J163" s="12"/>
      <c r="K163" s="12"/>
      <c r="L163" s="12"/>
      <c r="M163" s="12"/>
    </row>
    <row r="164">
      <c r="J164" s="12"/>
      <c r="K164" s="12"/>
      <c r="L164" s="12"/>
      <c r="M164" s="12"/>
    </row>
    <row r="165">
      <c r="J165" s="12"/>
      <c r="K165" s="12"/>
      <c r="L165" s="12"/>
      <c r="M165" s="12"/>
    </row>
    <row r="166">
      <c r="J166" s="12"/>
      <c r="K166" s="12"/>
      <c r="L166" s="12"/>
      <c r="M166" s="12"/>
    </row>
    <row r="167">
      <c r="J167" s="12"/>
      <c r="K167" s="12"/>
      <c r="L167" s="12"/>
      <c r="M167" s="12"/>
    </row>
    <row r="168">
      <c r="J168" s="12"/>
      <c r="K168" s="12"/>
      <c r="L168" s="12"/>
      <c r="M168" s="12"/>
    </row>
    <row r="169">
      <c r="J169" s="12"/>
      <c r="K169" s="12"/>
      <c r="L169" s="12"/>
      <c r="M169" s="12"/>
    </row>
    <row r="170">
      <c r="J170" s="12"/>
      <c r="K170" s="12"/>
      <c r="L170" s="12"/>
      <c r="M170" s="12"/>
    </row>
    <row r="171">
      <c r="J171" s="12"/>
      <c r="K171" s="12"/>
      <c r="L171" s="12"/>
      <c r="M171" s="12"/>
    </row>
    <row r="172">
      <c r="J172" s="12"/>
      <c r="K172" s="12"/>
      <c r="L172" s="12"/>
      <c r="M172" s="12"/>
    </row>
    <row r="173">
      <c r="J173" s="12"/>
      <c r="K173" s="12"/>
      <c r="L173" s="12"/>
      <c r="M173" s="12"/>
    </row>
    <row r="174">
      <c r="J174" s="12"/>
      <c r="K174" s="12"/>
      <c r="L174" s="12"/>
      <c r="M174" s="12"/>
    </row>
    <row r="175">
      <c r="J175" s="12"/>
      <c r="K175" s="12"/>
      <c r="L175" s="12"/>
      <c r="M175" s="12"/>
    </row>
    <row r="176">
      <c r="J176" s="12"/>
      <c r="K176" s="12"/>
      <c r="L176" s="12"/>
      <c r="M176" s="12"/>
    </row>
    <row r="177">
      <c r="J177" s="12"/>
      <c r="K177" s="12"/>
      <c r="L177" s="12"/>
      <c r="M177" s="12"/>
    </row>
    <row r="178">
      <c r="J178" s="12"/>
      <c r="K178" s="12"/>
      <c r="L178" s="12"/>
      <c r="M178" s="12"/>
    </row>
    <row r="179">
      <c r="J179" s="12"/>
      <c r="K179" s="12"/>
      <c r="L179" s="12"/>
      <c r="M179" s="12"/>
    </row>
    <row r="180">
      <c r="J180" s="12"/>
      <c r="K180" s="12"/>
      <c r="L180" s="12"/>
      <c r="M180" s="12"/>
    </row>
    <row r="181">
      <c r="J181" s="12"/>
      <c r="K181" s="12"/>
      <c r="L181" s="12"/>
      <c r="M181" s="12"/>
    </row>
    <row r="182">
      <c r="J182" s="12"/>
      <c r="K182" s="12"/>
      <c r="L182" s="12"/>
      <c r="M182" s="12"/>
    </row>
    <row r="183">
      <c r="J183" s="12"/>
      <c r="K183" s="12"/>
      <c r="L183" s="12"/>
      <c r="M183" s="12"/>
    </row>
    <row r="184">
      <c r="J184" s="12"/>
      <c r="K184" s="12"/>
      <c r="L184" s="12"/>
      <c r="M184" s="12"/>
    </row>
    <row r="185">
      <c r="J185" s="12"/>
      <c r="K185" s="12"/>
      <c r="L185" s="12"/>
      <c r="M185" s="12"/>
    </row>
    <row r="186">
      <c r="J186" s="12"/>
      <c r="K186" s="12"/>
      <c r="L186" s="12"/>
      <c r="M186" s="12"/>
    </row>
    <row r="187">
      <c r="J187" s="12"/>
      <c r="K187" s="12"/>
      <c r="L187" s="12"/>
      <c r="M187" s="12"/>
    </row>
    <row r="188">
      <c r="J188" s="12"/>
      <c r="K188" s="12"/>
      <c r="L188" s="12"/>
      <c r="M188" s="12"/>
    </row>
    <row r="189">
      <c r="J189" s="12"/>
      <c r="K189" s="12"/>
      <c r="L189" s="12"/>
      <c r="M189" s="12"/>
    </row>
    <row r="190">
      <c r="J190" s="12"/>
      <c r="K190" s="12"/>
      <c r="L190" s="12"/>
      <c r="M190" s="12"/>
    </row>
    <row r="191">
      <c r="J191" s="12"/>
      <c r="K191" s="12"/>
      <c r="L191" s="12"/>
      <c r="M191" s="12"/>
    </row>
    <row r="192">
      <c r="J192" s="12"/>
      <c r="K192" s="12"/>
      <c r="L192" s="12"/>
      <c r="M192" s="12"/>
    </row>
    <row r="193">
      <c r="J193" s="12"/>
      <c r="K193" s="12"/>
      <c r="L193" s="12"/>
      <c r="M193" s="12"/>
    </row>
    <row r="194">
      <c r="J194" s="12"/>
      <c r="K194" s="12"/>
      <c r="L194" s="12"/>
      <c r="M194" s="12"/>
    </row>
    <row r="195">
      <c r="J195" s="12"/>
      <c r="K195" s="12"/>
      <c r="L195" s="12"/>
      <c r="M195" s="12"/>
    </row>
    <row r="196">
      <c r="J196" s="12"/>
      <c r="K196" s="12"/>
      <c r="L196" s="12"/>
      <c r="M196" s="12"/>
    </row>
    <row r="197">
      <c r="J197" s="12"/>
      <c r="K197" s="12"/>
      <c r="L197" s="12"/>
      <c r="M197" s="12"/>
    </row>
    <row r="198">
      <c r="J198" s="12"/>
      <c r="K198" s="12"/>
      <c r="L198" s="12"/>
      <c r="M198" s="12"/>
    </row>
    <row r="199">
      <c r="J199" s="12"/>
      <c r="K199" s="12"/>
      <c r="L199" s="12"/>
      <c r="M199" s="12"/>
    </row>
    <row r="200">
      <c r="J200" s="12"/>
      <c r="K200" s="12"/>
      <c r="L200" s="12"/>
      <c r="M200" s="12"/>
    </row>
    <row r="201">
      <c r="J201" s="12"/>
      <c r="K201" s="12"/>
      <c r="L201" s="12"/>
      <c r="M201" s="12"/>
    </row>
    <row r="202">
      <c r="J202" s="12"/>
      <c r="K202" s="12"/>
      <c r="L202" s="12"/>
      <c r="M202" s="12"/>
    </row>
    <row r="203">
      <c r="J203" s="12"/>
      <c r="K203" s="12"/>
      <c r="L203" s="12"/>
      <c r="M203" s="12"/>
    </row>
    <row r="204">
      <c r="J204" s="12"/>
      <c r="K204" s="12"/>
      <c r="L204" s="12"/>
      <c r="M204" s="12"/>
    </row>
    <row r="205">
      <c r="J205" s="12"/>
      <c r="K205" s="12"/>
      <c r="L205" s="12"/>
      <c r="M205" s="12"/>
    </row>
    <row r="206">
      <c r="J206" s="12"/>
      <c r="K206" s="12"/>
      <c r="L206" s="12"/>
      <c r="M206" s="12"/>
    </row>
    <row r="207">
      <c r="J207" s="12"/>
      <c r="K207" s="12"/>
      <c r="L207" s="12"/>
      <c r="M207" s="12"/>
    </row>
    <row r="208">
      <c r="J208" s="12"/>
      <c r="K208" s="12"/>
      <c r="L208" s="12"/>
      <c r="M208" s="12"/>
    </row>
    <row r="209">
      <c r="J209" s="12"/>
      <c r="K209" s="12"/>
      <c r="L209" s="12"/>
      <c r="M209" s="12"/>
    </row>
    <row r="210">
      <c r="J210" s="12"/>
      <c r="K210" s="12"/>
      <c r="L210" s="12"/>
      <c r="M210" s="12"/>
    </row>
    <row r="211">
      <c r="J211" s="12"/>
      <c r="K211" s="12"/>
      <c r="L211" s="12"/>
      <c r="M211" s="12"/>
    </row>
    <row r="212">
      <c r="J212" s="12"/>
      <c r="K212" s="12"/>
      <c r="L212" s="12"/>
      <c r="M212" s="12"/>
    </row>
    <row r="213">
      <c r="J213" s="12"/>
      <c r="K213" s="12"/>
      <c r="L213" s="12"/>
      <c r="M213" s="12"/>
    </row>
    <row r="214">
      <c r="J214" s="12"/>
      <c r="K214" s="12"/>
      <c r="L214" s="12"/>
      <c r="M214" s="12"/>
    </row>
    <row r="215">
      <c r="J215" s="12"/>
      <c r="K215" s="12"/>
      <c r="L215" s="12"/>
      <c r="M215" s="12"/>
    </row>
    <row r="216">
      <c r="J216" s="12"/>
      <c r="K216" s="12"/>
      <c r="L216" s="12"/>
      <c r="M216" s="12"/>
    </row>
    <row r="217">
      <c r="J217" s="12"/>
      <c r="K217" s="12"/>
      <c r="L217" s="12"/>
      <c r="M217" s="12"/>
    </row>
    <row r="218">
      <c r="J218" s="12"/>
      <c r="K218" s="12"/>
      <c r="L218" s="12"/>
      <c r="M218" s="12"/>
    </row>
    <row r="219">
      <c r="J219" s="12"/>
      <c r="K219" s="12"/>
      <c r="L219" s="12"/>
      <c r="M219" s="12"/>
    </row>
    <row r="220">
      <c r="J220" s="12"/>
      <c r="K220" s="12"/>
      <c r="L220" s="12"/>
      <c r="M220" s="12"/>
    </row>
    <row r="221">
      <c r="J221" s="12"/>
      <c r="K221" s="12"/>
      <c r="L221" s="12"/>
      <c r="M221" s="12"/>
    </row>
    <row r="222">
      <c r="J222" s="12"/>
      <c r="K222" s="12"/>
      <c r="L222" s="12"/>
      <c r="M222" s="12"/>
    </row>
    <row r="223">
      <c r="J223" s="12"/>
      <c r="K223" s="12"/>
      <c r="L223" s="12"/>
      <c r="M223" s="12"/>
    </row>
    <row r="224">
      <c r="J224" s="12"/>
      <c r="K224" s="12"/>
      <c r="L224" s="12"/>
      <c r="M224" s="12"/>
    </row>
    <row r="225">
      <c r="J225" s="12"/>
      <c r="K225" s="12"/>
      <c r="L225" s="12"/>
      <c r="M225" s="12"/>
    </row>
    <row r="226">
      <c r="J226" s="12"/>
      <c r="K226" s="12"/>
      <c r="L226" s="12"/>
      <c r="M226" s="12"/>
    </row>
    <row r="227">
      <c r="J227" s="12"/>
      <c r="K227" s="12"/>
      <c r="L227" s="12"/>
      <c r="M227" s="12"/>
    </row>
    <row r="228">
      <c r="J228" s="12"/>
      <c r="K228" s="12"/>
      <c r="L228" s="12"/>
      <c r="M228" s="12"/>
    </row>
    <row r="229">
      <c r="J229" s="12"/>
      <c r="K229" s="12"/>
      <c r="L229" s="12"/>
      <c r="M229" s="12"/>
    </row>
    <row r="230">
      <c r="J230" s="12"/>
      <c r="K230" s="12"/>
      <c r="L230" s="12"/>
      <c r="M230" s="12"/>
    </row>
    <row r="231">
      <c r="J231" s="12"/>
      <c r="K231" s="12"/>
      <c r="L231" s="12"/>
      <c r="M231" s="12"/>
    </row>
    <row r="232">
      <c r="J232" s="12"/>
      <c r="K232" s="12"/>
      <c r="L232" s="12"/>
      <c r="M232" s="12"/>
    </row>
    <row r="233">
      <c r="J233" s="12"/>
      <c r="K233" s="12"/>
      <c r="L233" s="12"/>
      <c r="M233" s="12"/>
    </row>
    <row r="234">
      <c r="J234" s="12"/>
      <c r="K234" s="12"/>
      <c r="L234" s="12"/>
      <c r="M234" s="12"/>
    </row>
    <row r="235">
      <c r="J235" s="12"/>
      <c r="K235" s="12"/>
      <c r="L235" s="12"/>
      <c r="M235" s="12"/>
    </row>
    <row r="236">
      <c r="J236" s="12"/>
      <c r="K236" s="12"/>
      <c r="L236" s="12"/>
      <c r="M236" s="12"/>
    </row>
    <row r="237">
      <c r="J237" s="12"/>
      <c r="K237" s="12"/>
      <c r="L237" s="12"/>
      <c r="M237" s="12"/>
    </row>
    <row r="238">
      <c r="J238" s="12"/>
      <c r="K238" s="12"/>
      <c r="L238" s="12"/>
      <c r="M238" s="12"/>
    </row>
    <row r="239">
      <c r="J239" s="12"/>
      <c r="K239" s="12"/>
      <c r="L239" s="12"/>
      <c r="M239" s="12"/>
    </row>
    <row r="240">
      <c r="J240" s="12"/>
      <c r="K240" s="12"/>
      <c r="L240" s="12"/>
      <c r="M240" s="12"/>
    </row>
    <row r="241">
      <c r="J241" s="12"/>
      <c r="K241" s="12"/>
      <c r="L241" s="12"/>
      <c r="M241" s="12"/>
    </row>
    <row r="242">
      <c r="J242" s="12"/>
      <c r="K242" s="12"/>
      <c r="L242" s="12"/>
      <c r="M242" s="12"/>
    </row>
    <row r="243">
      <c r="J243" s="12"/>
      <c r="K243" s="12"/>
      <c r="L243" s="12"/>
      <c r="M243" s="12"/>
    </row>
    <row r="244">
      <c r="J244" s="12"/>
      <c r="K244" s="12"/>
      <c r="L244" s="12"/>
      <c r="M244" s="12"/>
    </row>
    <row r="245">
      <c r="J245" s="12"/>
      <c r="K245" s="12"/>
      <c r="L245" s="12"/>
      <c r="M245" s="12"/>
    </row>
    <row r="246">
      <c r="J246" s="12"/>
      <c r="K246" s="12"/>
      <c r="L246" s="12"/>
      <c r="M246" s="12"/>
    </row>
    <row r="247">
      <c r="J247" s="12"/>
      <c r="K247" s="12"/>
      <c r="L247" s="12"/>
      <c r="M247" s="12"/>
    </row>
    <row r="248">
      <c r="J248" s="12"/>
      <c r="K248" s="12"/>
      <c r="L248" s="12"/>
      <c r="M248" s="12"/>
    </row>
    <row r="249">
      <c r="J249" s="12"/>
      <c r="K249" s="12"/>
      <c r="L249" s="12"/>
      <c r="M249" s="12"/>
    </row>
    <row r="250">
      <c r="J250" s="12"/>
      <c r="K250" s="12"/>
      <c r="L250" s="12"/>
      <c r="M250" s="12"/>
    </row>
    <row r="251">
      <c r="J251" s="12"/>
      <c r="K251" s="12"/>
      <c r="L251" s="12"/>
      <c r="M251" s="12"/>
    </row>
    <row r="252">
      <c r="J252" s="12"/>
      <c r="K252" s="12"/>
      <c r="L252" s="12"/>
      <c r="M252" s="12"/>
    </row>
    <row r="253">
      <c r="J253" s="12"/>
      <c r="K253" s="12"/>
      <c r="L253" s="12"/>
      <c r="M253" s="12"/>
    </row>
    <row r="254">
      <c r="J254" s="12"/>
      <c r="K254" s="12"/>
      <c r="L254" s="12"/>
      <c r="M254" s="12"/>
    </row>
    <row r="255">
      <c r="J255" s="12"/>
      <c r="K255" s="12"/>
      <c r="L255" s="12"/>
      <c r="M255" s="12"/>
    </row>
    <row r="256">
      <c r="J256" s="12"/>
      <c r="K256" s="12"/>
      <c r="L256" s="12"/>
      <c r="M256" s="12"/>
    </row>
    <row r="257">
      <c r="J257" s="12"/>
      <c r="K257" s="12"/>
      <c r="L257" s="12"/>
      <c r="M257" s="12"/>
    </row>
    <row r="258">
      <c r="J258" s="12"/>
      <c r="K258" s="12"/>
      <c r="L258" s="12"/>
      <c r="M258" s="12"/>
    </row>
    <row r="259">
      <c r="J259" s="12"/>
      <c r="K259" s="12"/>
      <c r="L259" s="12"/>
      <c r="M259" s="12"/>
    </row>
    <row r="260">
      <c r="J260" s="12"/>
      <c r="K260" s="12"/>
      <c r="L260" s="12"/>
      <c r="M260" s="12"/>
    </row>
    <row r="261">
      <c r="J261" s="12"/>
      <c r="K261" s="12"/>
      <c r="L261" s="12"/>
      <c r="M261" s="12"/>
    </row>
    <row r="262">
      <c r="J262" s="12"/>
      <c r="K262" s="12"/>
      <c r="L262" s="12"/>
      <c r="M262" s="12"/>
    </row>
    <row r="263">
      <c r="J263" s="12"/>
      <c r="K263" s="12"/>
      <c r="L263" s="12"/>
      <c r="M263" s="12"/>
    </row>
    <row r="264">
      <c r="J264" s="12"/>
      <c r="K264" s="12"/>
      <c r="L264" s="12"/>
      <c r="M264" s="12"/>
    </row>
    <row r="265">
      <c r="J265" s="12"/>
      <c r="K265" s="12"/>
      <c r="L265" s="12"/>
      <c r="M265" s="12"/>
    </row>
    <row r="266">
      <c r="J266" s="12"/>
      <c r="K266" s="12"/>
      <c r="L266" s="12"/>
      <c r="M266" s="12"/>
    </row>
    <row r="267">
      <c r="J267" s="12"/>
      <c r="K267" s="12"/>
      <c r="L267" s="12"/>
      <c r="M267" s="12"/>
    </row>
    <row r="268">
      <c r="J268" s="12"/>
      <c r="K268" s="12"/>
      <c r="L268" s="12"/>
      <c r="M268" s="12"/>
    </row>
    <row r="269">
      <c r="J269" s="12"/>
      <c r="K269" s="12"/>
      <c r="L269" s="12"/>
      <c r="M269" s="12"/>
    </row>
    <row r="270">
      <c r="J270" s="12"/>
      <c r="K270" s="12"/>
      <c r="L270" s="12"/>
      <c r="M270" s="12"/>
    </row>
    <row r="271">
      <c r="J271" s="12"/>
      <c r="K271" s="12"/>
      <c r="L271" s="12"/>
      <c r="M271" s="12"/>
    </row>
    <row r="272">
      <c r="J272" s="12"/>
      <c r="K272" s="12"/>
      <c r="L272" s="12"/>
      <c r="M272" s="12"/>
    </row>
    <row r="273">
      <c r="J273" s="12"/>
      <c r="K273" s="12"/>
      <c r="L273" s="12"/>
      <c r="M273" s="12"/>
    </row>
    <row r="274">
      <c r="J274" s="12"/>
      <c r="K274" s="12"/>
      <c r="L274" s="12"/>
      <c r="M274" s="12"/>
    </row>
    <row r="275">
      <c r="J275" s="12"/>
      <c r="K275" s="12"/>
      <c r="L275" s="12"/>
      <c r="M275" s="12"/>
    </row>
    <row r="276">
      <c r="J276" s="12"/>
      <c r="K276" s="12"/>
      <c r="L276" s="12"/>
      <c r="M276" s="12"/>
    </row>
    <row r="277">
      <c r="J277" s="12"/>
      <c r="K277" s="12"/>
      <c r="L277" s="12"/>
      <c r="M277" s="12"/>
    </row>
    <row r="278">
      <c r="J278" s="12"/>
      <c r="K278" s="12"/>
      <c r="L278" s="12"/>
      <c r="M278" s="12"/>
    </row>
    <row r="279">
      <c r="J279" s="12"/>
      <c r="K279" s="12"/>
      <c r="L279" s="12"/>
      <c r="M279" s="12"/>
    </row>
    <row r="280">
      <c r="J280" s="12"/>
      <c r="K280" s="12"/>
      <c r="L280" s="12"/>
      <c r="M280" s="12"/>
    </row>
    <row r="281">
      <c r="J281" s="12"/>
      <c r="K281" s="12"/>
      <c r="L281" s="12"/>
      <c r="M281" s="12"/>
    </row>
    <row r="282">
      <c r="J282" s="12"/>
      <c r="K282" s="12"/>
      <c r="L282" s="12"/>
      <c r="M282" s="12"/>
    </row>
    <row r="283">
      <c r="J283" s="12"/>
      <c r="K283" s="12"/>
      <c r="L283" s="12"/>
      <c r="M283" s="12"/>
    </row>
    <row r="284">
      <c r="J284" s="12"/>
      <c r="K284" s="12"/>
      <c r="L284" s="12"/>
      <c r="M284" s="12"/>
    </row>
    <row r="285">
      <c r="J285" s="12"/>
      <c r="K285" s="12"/>
      <c r="L285" s="12"/>
      <c r="M285" s="12"/>
    </row>
    <row r="286">
      <c r="J286" s="12"/>
      <c r="K286" s="12"/>
      <c r="L286" s="12"/>
      <c r="M286" s="12"/>
    </row>
    <row r="287">
      <c r="J287" s="12"/>
      <c r="K287" s="12"/>
      <c r="L287" s="12"/>
      <c r="M287" s="12"/>
    </row>
    <row r="288">
      <c r="J288" s="12"/>
      <c r="K288" s="12"/>
      <c r="L288" s="12"/>
      <c r="M288" s="12"/>
    </row>
    <row r="289">
      <c r="J289" s="12"/>
      <c r="K289" s="12"/>
      <c r="L289" s="12"/>
      <c r="M289" s="12"/>
    </row>
    <row r="290">
      <c r="J290" s="12"/>
      <c r="K290" s="12"/>
      <c r="L290" s="12"/>
      <c r="M290" s="12"/>
    </row>
    <row r="291">
      <c r="J291" s="12"/>
      <c r="K291" s="12"/>
      <c r="L291" s="12"/>
      <c r="M291" s="12"/>
    </row>
    <row r="292">
      <c r="J292" s="12"/>
      <c r="K292" s="12"/>
      <c r="L292" s="12"/>
      <c r="M292" s="12"/>
    </row>
    <row r="293">
      <c r="J293" s="12"/>
      <c r="K293" s="12"/>
      <c r="L293" s="12"/>
      <c r="M293" s="12"/>
    </row>
    <row r="294">
      <c r="J294" s="12"/>
      <c r="K294" s="12"/>
      <c r="L294" s="12"/>
      <c r="M294" s="12"/>
    </row>
    <row r="295">
      <c r="J295" s="12"/>
      <c r="K295" s="12"/>
      <c r="L295" s="12"/>
      <c r="M295" s="12"/>
    </row>
    <row r="296">
      <c r="J296" s="12"/>
      <c r="K296" s="12"/>
      <c r="L296" s="12"/>
      <c r="M296" s="12"/>
    </row>
    <row r="297">
      <c r="J297" s="12"/>
      <c r="K297" s="12"/>
      <c r="L297" s="12"/>
      <c r="M297" s="12"/>
    </row>
    <row r="298">
      <c r="J298" s="12"/>
      <c r="K298" s="12"/>
      <c r="L298" s="12"/>
      <c r="M298" s="12"/>
    </row>
    <row r="299">
      <c r="J299" s="12"/>
      <c r="K299" s="12"/>
      <c r="L299" s="12"/>
      <c r="M299" s="12"/>
    </row>
    <row r="300">
      <c r="J300" s="12"/>
      <c r="K300" s="12"/>
      <c r="L300" s="12"/>
      <c r="M300" s="12"/>
    </row>
    <row r="301">
      <c r="J301" s="12"/>
      <c r="K301" s="12"/>
      <c r="L301" s="12"/>
      <c r="M301" s="12"/>
    </row>
    <row r="302">
      <c r="J302" s="12"/>
      <c r="K302" s="12"/>
      <c r="L302" s="12"/>
      <c r="M302" s="12"/>
    </row>
    <row r="303">
      <c r="J303" s="12"/>
      <c r="K303" s="12"/>
      <c r="L303" s="12"/>
      <c r="M303" s="12"/>
    </row>
    <row r="304">
      <c r="J304" s="12"/>
      <c r="K304" s="12"/>
      <c r="L304" s="12"/>
      <c r="M304" s="12"/>
    </row>
    <row r="305">
      <c r="J305" s="12"/>
      <c r="K305" s="12"/>
      <c r="L305" s="12"/>
      <c r="M305" s="12"/>
    </row>
    <row r="306">
      <c r="J306" s="12"/>
      <c r="K306" s="12"/>
      <c r="L306" s="12"/>
      <c r="M306" s="12"/>
    </row>
    <row r="307">
      <c r="J307" s="12"/>
      <c r="K307" s="12"/>
      <c r="L307" s="12"/>
      <c r="M307" s="12"/>
    </row>
    <row r="308">
      <c r="J308" s="12"/>
      <c r="K308" s="12"/>
      <c r="L308" s="12"/>
      <c r="M308" s="12"/>
    </row>
    <row r="309">
      <c r="J309" s="12"/>
      <c r="K309" s="12"/>
      <c r="L309" s="12"/>
      <c r="M309" s="12"/>
    </row>
    <row r="310">
      <c r="J310" s="12"/>
      <c r="K310" s="12"/>
      <c r="L310" s="12"/>
      <c r="M310" s="12"/>
    </row>
    <row r="311">
      <c r="J311" s="12"/>
      <c r="K311" s="12"/>
      <c r="L311" s="12"/>
      <c r="M311" s="12"/>
    </row>
    <row r="312">
      <c r="J312" s="12"/>
      <c r="K312" s="12"/>
      <c r="L312" s="12"/>
      <c r="M312" s="12"/>
    </row>
    <row r="313">
      <c r="J313" s="12"/>
      <c r="K313" s="12"/>
      <c r="L313" s="12"/>
      <c r="M313" s="12"/>
    </row>
    <row r="314">
      <c r="J314" s="12"/>
      <c r="K314" s="12"/>
      <c r="L314" s="12"/>
      <c r="M314" s="12"/>
    </row>
    <row r="315">
      <c r="J315" s="12"/>
      <c r="K315" s="12"/>
      <c r="L315" s="12"/>
      <c r="M315" s="12"/>
    </row>
    <row r="316">
      <c r="J316" s="12"/>
      <c r="K316" s="12"/>
      <c r="L316" s="12"/>
      <c r="M316" s="12"/>
    </row>
    <row r="317">
      <c r="J317" s="12"/>
      <c r="K317" s="12"/>
      <c r="L317" s="12"/>
      <c r="M317" s="12"/>
    </row>
    <row r="318">
      <c r="J318" s="12"/>
      <c r="K318" s="12"/>
      <c r="L318" s="12"/>
      <c r="M318" s="12"/>
    </row>
    <row r="319">
      <c r="J319" s="12"/>
      <c r="K319" s="12"/>
      <c r="L319" s="12"/>
      <c r="M319" s="12"/>
    </row>
    <row r="320">
      <c r="J320" s="12"/>
      <c r="K320" s="12"/>
      <c r="L320" s="12"/>
      <c r="M320" s="12"/>
    </row>
    <row r="321">
      <c r="J321" s="12"/>
      <c r="K321" s="12"/>
      <c r="L321" s="12"/>
      <c r="M321" s="12"/>
    </row>
    <row r="322">
      <c r="J322" s="12"/>
      <c r="K322" s="12"/>
      <c r="L322" s="12"/>
      <c r="M322" s="12"/>
    </row>
    <row r="323">
      <c r="J323" s="12"/>
      <c r="K323" s="12"/>
      <c r="L323" s="12"/>
      <c r="M323" s="12"/>
    </row>
    <row r="324">
      <c r="J324" s="12"/>
      <c r="K324" s="12"/>
      <c r="L324" s="12"/>
      <c r="M324" s="12"/>
    </row>
    <row r="325">
      <c r="J325" s="12"/>
      <c r="K325" s="12"/>
      <c r="L325" s="12"/>
      <c r="M325" s="12"/>
    </row>
    <row r="326">
      <c r="J326" s="12"/>
      <c r="K326" s="12"/>
      <c r="L326" s="12"/>
      <c r="M326" s="12"/>
    </row>
    <row r="327">
      <c r="J327" s="12"/>
      <c r="K327" s="12"/>
      <c r="L327" s="12"/>
      <c r="M327" s="12"/>
    </row>
    <row r="328">
      <c r="J328" s="12"/>
      <c r="K328" s="12"/>
      <c r="L328" s="12"/>
      <c r="M328" s="12"/>
    </row>
    <row r="329">
      <c r="J329" s="12"/>
      <c r="K329" s="12"/>
      <c r="L329" s="12"/>
      <c r="M329" s="12"/>
    </row>
    <row r="330">
      <c r="J330" s="12"/>
      <c r="K330" s="12"/>
      <c r="L330" s="12"/>
      <c r="M330" s="12"/>
    </row>
    <row r="331">
      <c r="J331" s="12"/>
      <c r="K331" s="12"/>
      <c r="L331" s="12"/>
      <c r="M331" s="12"/>
    </row>
    <row r="332">
      <c r="J332" s="12"/>
      <c r="K332" s="12"/>
      <c r="L332" s="12"/>
      <c r="M332" s="12"/>
    </row>
    <row r="333">
      <c r="J333" s="12"/>
      <c r="K333" s="12"/>
      <c r="L333" s="12"/>
      <c r="M333" s="12"/>
    </row>
    <row r="334">
      <c r="J334" s="12"/>
      <c r="K334" s="12"/>
      <c r="L334" s="12"/>
      <c r="M334" s="12"/>
    </row>
    <row r="335">
      <c r="J335" s="12"/>
      <c r="K335" s="12"/>
      <c r="L335" s="12"/>
      <c r="M335" s="12"/>
    </row>
    <row r="336">
      <c r="J336" s="12"/>
      <c r="K336" s="12"/>
      <c r="L336" s="12"/>
      <c r="M336" s="12"/>
    </row>
    <row r="337">
      <c r="J337" s="12"/>
      <c r="K337" s="12"/>
      <c r="L337" s="12"/>
      <c r="M337" s="12"/>
    </row>
    <row r="338">
      <c r="J338" s="12"/>
      <c r="K338" s="12"/>
      <c r="L338" s="12"/>
      <c r="M338" s="12"/>
    </row>
    <row r="339">
      <c r="J339" s="12"/>
      <c r="K339" s="12"/>
      <c r="L339" s="12"/>
      <c r="M339" s="12"/>
    </row>
    <row r="340">
      <c r="J340" s="12"/>
      <c r="K340" s="12"/>
      <c r="L340" s="12"/>
      <c r="M340" s="12"/>
    </row>
    <row r="341">
      <c r="J341" s="12"/>
      <c r="K341" s="12"/>
      <c r="L341" s="12"/>
      <c r="M341" s="12"/>
    </row>
    <row r="342">
      <c r="J342" s="12"/>
      <c r="K342" s="12"/>
      <c r="L342" s="12"/>
      <c r="M342" s="12"/>
    </row>
    <row r="343">
      <c r="J343" s="12"/>
      <c r="K343" s="12"/>
      <c r="L343" s="12"/>
      <c r="M343" s="12"/>
    </row>
    <row r="344">
      <c r="J344" s="12"/>
      <c r="K344" s="12"/>
      <c r="L344" s="12"/>
      <c r="M344" s="12"/>
    </row>
    <row r="345">
      <c r="J345" s="12"/>
      <c r="K345" s="12"/>
      <c r="L345" s="12"/>
      <c r="M345" s="12"/>
    </row>
    <row r="346">
      <c r="J346" s="12"/>
      <c r="K346" s="12"/>
      <c r="L346" s="12"/>
      <c r="M346" s="12"/>
    </row>
    <row r="347">
      <c r="J347" s="12"/>
      <c r="K347" s="12"/>
      <c r="L347" s="12"/>
      <c r="M347" s="12"/>
    </row>
    <row r="348">
      <c r="J348" s="12"/>
      <c r="K348" s="12"/>
      <c r="L348" s="12"/>
      <c r="M348" s="12"/>
    </row>
    <row r="349">
      <c r="J349" s="12"/>
      <c r="K349" s="12"/>
      <c r="L349" s="12"/>
      <c r="M349" s="12"/>
    </row>
    <row r="350">
      <c r="J350" s="12"/>
      <c r="K350" s="12"/>
      <c r="L350" s="12"/>
      <c r="M350" s="12"/>
    </row>
    <row r="351">
      <c r="J351" s="12"/>
      <c r="K351" s="12"/>
      <c r="L351" s="12"/>
      <c r="M351" s="12"/>
    </row>
    <row r="352">
      <c r="J352" s="12"/>
      <c r="K352" s="12"/>
      <c r="L352" s="12"/>
      <c r="M352" s="12"/>
    </row>
    <row r="353">
      <c r="J353" s="12"/>
      <c r="K353" s="12"/>
      <c r="L353" s="12"/>
      <c r="M353" s="12"/>
    </row>
    <row r="354">
      <c r="J354" s="12"/>
      <c r="K354" s="12"/>
      <c r="L354" s="12"/>
      <c r="M354" s="12"/>
    </row>
    <row r="355">
      <c r="J355" s="12"/>
      <c r="K355" s="12"/>
      <c r="L355" s="12"/>
      <c r="M355" s="12"/>
    </row>
    <row r="356">
      <c r="J356" s="12"/>
      <c r="K356" s="12"/>
      <c r="L356" s="12"/>
      <c r="M356" s="12"/>
    </row>
    <row r="357">
      <c r="J357" s="12"/>
      <c r="K357" s="12"/>
      <c r="L357" s="12"/>
      <c r="M357" s="12"/>
    </row>
    <row r="358">
      <c r="J358" s="12"/>
      <c r="K358" s="12"/>
      <c r="L358" s="12"/>
      <c r="M358" s="12"/>
    </row>
    <row r="359">
      <c r="J359" s="12"/>
      <c r="K359" s="12"/>
      <c r="L359" s="12"/>
      <c r="M359" s="12"/>
    </row>
    <row r="360">
      <c r="J360" s="12"/>
      <c r="K360" s="12"/>
      <c r="L360" s="12"/>
      <c r="M360" s="12"/>
    </row>
    <row r="361">
      <c r="J361" s="12"/>
      <c r="K361" s="12"/>
      <c r="L361" s="12"/>
      <c r="M361" s="12"/>
    </row>
    <row r="362">
      <c r="J362" s="12"/>
      <c r="K362" s="12"/>
      <c r="L362" s="12"/>
      <c r="M362" s="12"/>
    </row>
    <row r="363">
      <c r="J363" s="12"/>
      <c r="K363" s="12"/>
      <c r="L363" s="12"/>
      <c r="M363" s="12"/>
    </row>
    <row r="364">
      <c r="J364" s="12"/>
      <c r="K364" s="12"/>
      <c r="L364" s="12"/>
      <c r="M364" s="12"/>
    </row>
    <row r="365">
      <c r="J365" s="12"/>
      <c r="K365" s="12"/>
      <c r="L365" s="12"/>
      <c r="M365" s="12"/>
    </row>
    <row r="366">
      <c r="J366" s="12"/>
      <c r="K366" s="12"/>
      <c r="L366" s="12"/>
      <c r="M366" s="12"/>
    </row>
    <row r="367">
      <c r="J367" s="12"/>
      <c r="K367" s="12"/>
      <c r="L367" s="12"/>
      <c r="M367" s="12"/>
    </row>
    <row r="368">
      <c r="J368" s="12"/>
      <c r="K368" s="12"/>
      <c r="L368" s="12"/>
      <c r="M368" s="12"/>
    </row>
    <row r="369">
      <c r="J369" s="12"/>
      <c r="K369" s="12"/>
      <c r="L369" s="12"/>
      <c r="M369" s="12"/>
    </row>
    <row r="370">
      <c r="J370" s="12"/>
      <c r="K370" s="12"/>
      <c r="L370" s="12"/>
      <c r="M370" s="12"/>
    </row>
    <row r="371">
      <c r="J371" s="12"/>
      <c r="K371" s="12"/>
      <c r="L371" s="12"/>
      <c r="M371" s="12"/>
    </row>
    <row r="372">
      <c r="J372" s="12"/>
      <c r="K372" s="12"/>
      <c r="L372" s="12"/>
      <c r="M372" s="12"/>
    </row>
    <row r="373">
      <c r="J373" s="12"/>
      <c r="K373" s="12"/>
      <c r="L373" s="12"/>
      <c r="M373" s="12"/>
    </row>
    <row r="374">
      <c r="J374" s="12"/>
      <c r="K374" s="12"/>
      <c r="L374" s="12"/>
      <c r="M374" s="12"/>
    </row>
    <row r="375">
      <c r="J375" s="12"/>
      <c r="K375" s="12"/>
      <c r="L375" s="12"/>
      <c r="M375" s="12"/>
    </row>
    <row r="376">
      <c r="J376" s="12"/>
      <c r="K376" s="12"/>
      <c r="L376" s="12"/>
      <c r="M376" s="12"/>
    </row>
    <row r="377">
      <c r="J377" s="12"/>
      <c r="K377" s="12"/>
      <c r="L377" s="12"/>
      <c r="M377" s="12"/>
    </row>
    <row r="378">
      <c r="J378" s="12"/>
      <c r="K378" s="12"/>
      <c r="L378" s="12"/>
      <c r="M378" s="12"/>
    </row>
    <row r="379">
      <c r="J379" s="12"/>
      <c r="K379" s="12"/>
      <c r="L379" s="12"/>
      <c r="M379" s="12"/>
    </row>
    <row r="380">
      <c r="J380" s="12"/>
      <c r="K380" s="12"/>
      <c r="L380" s="12"/>
      <c r="M380" s="12"/>
    </row>
    <row r="381">
      <c r="J381" s="12"/>
      <c r="K381" s="12"/>
      <c r="L381" s="12"/>
      <c r="M381" s="12"/>
    </row>
    <row r="382">
      <c r="J382" s="12"/>
      <c r="K382" s="12"/>
      <c r="L382" s="12"/>
      <c r="M382" s="12"/>
    </row>
    <row r="383">
      <c r="J383" s="12"/>
      <c r="K383" s="12"/>
      <c r="L383" s="12"/>
      <c r="M383" s="12"/>
    </row>
    <row r="384">
      <c r="J384" s="12"/>
      <c r="K384" s="12"/>
      <c r="L384" s="12"/>
      <c r="M384" s="12"/>
    </row>
    <row r="385">
      <c r="J385" s="12"/>
      <c r="K385" s="12"/>
      <c r="L385" s="12"/>
      <c r="M385" s="12"/>
    </row>
    <row r="386">
      <c r="J386" s="12"/>
      <c r="K386" s="12"/>
      <c r="L386" s="12"/>
      <c r="M386" s="12"/>
    </row>
    <row r="387">
      <c r="J387" s="12"/>
      <c r="K387" s="12"/>
      <c r="L387" s="12"/>
      <c r="M387" s="12"/>
    </row>
    <row r="388">
      <c r="J388" s="12"/>
      <c r="K388" s="12"/>
      <c r="L388" s="12"/>
      <c r="M388" s="12"/>
    </row>
    <row r="389">
      <c r="J389" s="12"/>
      <c r="K389" s="12"/>
      <c r="L389" s="12"/>
      <c r="M389" s="12"/>
    </row>
    <row r="390">
      <c r="J390" s="12"/>
      <c r="K390" s="12"/>
      <c r="L390" s="12"/>
      <c r="M390" s="12"/>
    </row>
    <row r="391">
      <c r="J391" s="12"/>
      <c r="K391" s="12"/>
      <c r="L391" s="12"/>
      <c r="M391" s="12"/>
    </row>
    <row r="392">
      <c r="J392" s="12"/>
      <c r="K392" s="12"/>
      <c r="L392" s="12"/>
      <c r="M392" s="12"/>
    </row>
    <row r="393">
      <c r="J393" s="12"/>
      <c r="K393" s="12"/>
      <c r="L393" s="12"/>
      <c r="M393" s="12"/>
    </row>
    <row r="394">
      <c r="J394" s="12"/>
      <c r="K394" s="12"/>
      <c r="L394" s="12"/>
      <c r="M394" s="12"/>
    </row>
    <row r="395">
      <c r="J395" s="12"/>
      <c r="K395" s="12"/>
      <c r="L395" s="12"/>
      <c r="M395" s="12"/>
    </row>
    <row r="396">
      <c r="J396" s="12"/>
      <c r="K396" s="12"/>
      <c r="L396" s="12"/>
      <c r="M396" s="12"/>
    </row>
    <row r="397">
      <c r="J397" s="12"/>
      <c r="K397" s="12"/>
      <c r="L397" s="12"/>
      <c r="M397" s="12"/>
    </row>
    <row r="398">
      <c r="J398" s="12"/>
      <c r="K398" s="12"/>
      <c r="L398" s="12"/>
      <c r="M398" s="12"/>
    </row>
    <row r="399">
      <c r="J399" s="12"/>
      <c r="K399" s="12"/>
      <c r="L399" s="12"/>
      <c r="M399" s="12"/>
    </row>
    <row r="400">
      <c r="J400" s="12"/>
      <c r="K400" s="12"/>
      <c r="L400" s="12"/>
      <c r="M400" s="12"/>
    </row>
    <row r="401">
      <c r="J401" s="12"/>
      <c r="K401" s="12"/>
      <c r="L401" s="12"/>
      <c r="M401" s="12"/>
    </row>
    <row r="402">
      <c r="J402" s="12"/>
      <c r="K402" s="12"/>
      <c r="L402" s="12"/>
      <c r="M402" s="12"/>
    </row>
    <row r="403">
      <c r="J403" s="12"/>
      <c r="K403" s="12"/>
      <c r="L403" s="12"/>
      <c r="M403" s="12"/>
    </row>
    <row r="404">
      <c r="J404" s="12"/>
      <c r="K404" s="12"/>
      <c r="L404" s="12"/>
      <c r="M404" s="12"/>
    </row>
    <row r="405">
      <c r="J405" s="12"/>
      <c r="K405" s="12"/>
      <c r="L405" s="12"/>
      <c r="M405" s="12"/>
    </row>
    <row r="406">
      <c r="J406" s="12"/>
      <c r="K406" s="12"/>
      <c r="L406" s="12"/>
      <c r="M406" s="12"/>
    </row>
    <row r="407">
      <c r="J407" s="12"/>
      <c r="K407" s="12"/>
      <c r="L407" s="12"/>
      <c r="M407" s="12"/>
    </row>
    <row r="408">
      <c r="J408" s="12"/>
      <c r="K408" s="12"/>
      <c r="L408" s="12"/>
      <c r="M408" s="12"/>
    </row>
    <row r="409">
      <c r="J409" s="12"/>
      <c r="K409" s="12"/>
      <c r="L409" s="12"/>
      <c r="M409" s="12"/>
    </row>
    <row r="410">
      <c r="J410" s="12"/>
      <c r="K410" s="12"/>
      <c r="L410" s="12"/>
      <c r="M410" s="12"/>
    </row>
    <row r="411">
      <c r="J411" s="12"/>
      <c r="K411" s="12"/>
      <c r="L411" s="12"/>
      <c r="M411" s="12"/>
    </row>
    <row r="412">
      <c r="J412" s="12"/>
      <c r="K412" s="12"/>
      <c r="L412" s="12"/>
      <c r="M412" s="12"/>
    </row>
    <row r="413">
      <c r="J413" s="12"/>
      <c r="K413" s="12"/>
      <c r="L413" s="12"/>
      <c r="M413" s="12"/>
    </row>
    <row r="414">
      <c r="J414" s="12"/>
      <c r="K414" s="12"/>
      <c r="L414" s="12"/>
      <c r="M414" s="12"/>
    </row>
    <row r="415">
      <c r="J415" s="12"/>
      <c r="K415" s="12"/>
      <c r="L415" s="12"/>
      <c r="M415" s="12"/>
    </row>
    <row r="416">
      <c r="J416" s="12"/>
      <c r="K416" s="12"/>
      <c r="L416" s="12"/>
      <c r="M416" s="12"/>
    </row>
    <row r="417">
      <c r="J417" s="12"/>
      <c r="K417" s="12"/>
      <c r="L417" s="12"/>
      <c r="M417" s="12"/>
    </row>
    <row r="418">
      <c r="J418" s="12"/>
      <c r="K418" s="12"/>
      <c r="L418" s="12"/>
      <c r="M418" s="12"/>
    </row>
    <row r="419">
      <c r="J419" s="12"/>
      <c r="K419" s="12"/>
      <c r="L419" s="12"/>
      <c r="M419" s="12"/>
    </row>
    <row r="420">
      <c r="J420" s="12"/>
      <c r="K420" s="12"/>
      <c r="L420" s="12"/>
      <c r="M420" s="12"/>
    </row>
    <row r="421">
      <c r="J421" s="12"/>
      <c r="K421" s="12"/>
      <c r="L421" s="12"/>
      <c r="M421" s="12"/>
    </row>
    <row r="422">
      <c r="J422" s="12"/>
      <c r="K422" s="12"/>
      <c r="L422" s="12"/>
      <c r="M422" s="12"/>
    </row>
    <row r="423">
      <c r="J423" s="12"/>
      <c r="K423" s="12"/>
      <c r="L423" s="12"/>
      <c r="M423" s="12"/>
    </row>
    <row r="424">
      <c r="J424" s="12"/>
      <c r="K424" s="12"/>
      <c r="L424" s="12"/>
      <c r="M424" s="12"/>
    </row>
    <row r="425">
      <c r="J425" s="12"/>
      <c r="K425" s="12"/>
      <c r="L425" s="12"/>
      <c r="M425" s="12"/>
    </row>
    <row r="426">
      <c r="J426" s="12"/>
      <c r="K426" s="12"/>
      <c r="L426" s="12"/>
      <c r="M426" s="12"/>
    </row>
    <row r="427">
      <c r="J427" s="12"/>
      <c r="K427" s="12"/>
      <c r="L427" s="12"/>
      <c r="M427" s="12"/>
    </row>
    <row r="428">
      <c r="J428" s="12"/>
      <c r="K428" s="12"/>
      <c r="L428" s="12"/>
      <c r="M428" s="12"/>
    </row>
    <row r="429">
      <c r="J429" s="12"/>
      <c r="K429" s="12"/>
      <c r="L429" s="12"/>
      <c r="M429" s="12"/>
    </row>
    <row r="430">
      <c r="J430" s="12"/>
      <c r="K430" s="12"/>
      <c r="L430" s="12"/>
      <c r="M430" s="12"/>
    </row>
    <row r="431">
      <c r="J431" s="12"/>
      <c r="K431" s="12"/>
      <c r="L431" s="12"/>
      <c r="M431" s="12"/>
    </row>
    <row r="432">
      <c r="J432" s="12"/>
      <c r="K432" s="12"/>
      <c r="L432" s="12"/>
      <c r="M432" s="12"/>
    </row>
    <row r="433">
      <c r="J433" s="12"/>
      <c r="K433" s="12"/>
      <c r="L433" s="12"/>
      <c r="M433" s="12"/>
    </row>
    <row r="434">
      <c r="J434" s="12"/>
      <c r="K434" s="12"/>
      <c r="L434" s="12"/>
      <c r="M434" s="12"/>
    </row>
    <row r="435">
      <c r="J435" s="12"/>
      <c r="K435" s="12"/>
      <c r="L435" s="12"/>
      <c r="M435" s="12"/>
    </row>
    <row r="436">
      <c r="J436" s="12"/>
      <c r="K436" s="12"/>
      <c r="L436" s="12"/>
      <c r="M436" s="12"/>
    </row>
    <row r="437">
      <c r="J437" s="12"/>
      <c r="K437" s="12"/>
      <c r="L437" s="12"/>
      <c r="M437" s="12"/>
    </row>
    <row r="438">
      <c r="J438" s="12"/>
      <c r="K438" s="12"/>
      <c r="L438" s="12"/>
      <c r="M438" s="12"/>
    </row>
    <row r="439">
      <c r="J439" s="12"/>
      <c r="K439" s="12"/>
      <c r="L439" s="12"/>
      <c r="M439" s="12"/>
    </row>
    <row r="440">
      <c r="J440" s="12"/>
      <c r="K440" s="12"/>
      <c r="L440" s="12"/>
      <c r="M440" s="12"/>
    </row>
    <row r="441">
      <c r="J441" s="12"/>
      <c r="K441" s="12"/>
      <c r="L441" s="12"/>
      <c r="M441" s="12"/>
    </row>
    <row r="442">
      <c r="J442" s="12"/>
      <c r="K442" s="12"/>
      <c r="L442" s="12"/>
      <c r="M442" s="12"/>
    </row>
    <row r="443">
      <c r="J443" s="12"/>
      <c r="K443" s="12"/>
      <c r="L443" s="12"/>
      <c r="M443" s="12"/>
    </row>
    <row r="444">
      <c r="J444" s="12"/>
      <c r="K444" s="12"/>
      <c r="L444" s="12"/>
      <c r="M444" s="12"/>
    </row>
    <row r="445">
      <c r="J445" s="12"/>
      <c r="K445" s="12"/>
      <c r="L445" s="12"/>
      <c r="M445" s="12"/>
    </row>
    <row r="446">
      <c r="J446" s="12"/>
      <c r="K446" s="12"/>
      <c r="L446" s="12"/>
      <c r="M446" s="12"/>
    </row>
    <row r="447">
      <c r="J447" s="12"/>
      <c r="K447" s="12"/>
      <c r="L447" s="12"/>
      <c r="M447" s="12"/>
    </row>
    <row r="448">
      <c r="J448" s="12"/>
      <c r="K448" s="12"/>
      <c r="L448" s="12"/>
      <c r="M448" s="12"/>
    </row>
    <row r="449">
      <c r="J449" s="12"/>
      <c r="K449" s="12"/>
      <c r="L449" s="12"/>
      <c r="M449" s="12"/>
    </row>
    <row r="450">
      <c r="J450" s="12"/>
      <c r="K450" s="12"/>
      <c r="L450" s="12"/>
      <c r="M450" s="12"/>
    </row>
    <row r="451">
      <c r="J451" s="12"/>
      <c r="K451" s="12"/>
      <c r="L451" s="12"/>
      <c r="M451" s="12"/>
    </row>
    <row r="452">
      <c r="J452" s="12"/>
      <c r="K452" s="12"/>
      <c r="L452" s="12"/>
      <c r="M452" s="12"/>
    </row>
    <row r="453">
      <c r="J453" s="12"/>
      <c r="K453" s="12"/>
      <c r="L453" s="12"/>
      <c r="M453" s="12"/>
    </row>
    <row r="454">
      <c r="J454" s="12"/>
      <c r="K454" s="12"/>
      <c r="L454" s="12"/>
      <c r="M454" s="12"/>
    </row>
    <row r="455">
      <c r="J455" s="12"/>
      <c r="K455" s="12"/>
      <c r="L455" s="12"/>
      <c r="M455" s="12"/>
    </row>
    <row r="456">
      <c r="J456" s="12"/>
      <c r="K456" s="12"/>
      <c r="L456" s="12"/>
      <c r="M456" s="12"/>
    </row>
    <row r="457">
      <c r="J457" s="12"/>
      <c r="K457" s="12"/>
      <c r="L457" s="12"/>
      <c r="M457" s="12"/>
    </row>
    <row r="458">
      <c r="J458" s="12"/>
      <c r="K458" s="12"/>
      <c r="L458" s="12"/>
      <c r="M458" s="12"/>
    </row>
    <row r="459">
      <c r="J459" s="12"/>
      <c r="K459" s="12"/>
      <c r="L459" s="12"/>
      <c r="M459" s="12"/>
    </row>
    <row r="460">
      <c r="J460" s="12"/>
      <c r="K460" s="12"/>
      <c r="L460" s="12"/>
      <c r="M460" s="12"/>
    </row>
    <row r="461">
      <c r="J461" s="12"/>
      <c r="K461" s="12"/>
      <c r="L461" s="12"/>
      <c r="M461" s="12"/>
    </row>
    <row r="462">
      <c r="J462" s="12"/>
      <c r="K462" s="12"/>
      <c r="L462" s="12"/>
      <c r="M462" s="12"/>
    </row>
    <row r="463">
      <c r="J463" s="12"/>
      <c r="K463" s="12"/>
      <c r="L463" s="12"/>
      <c r="M463" s="12"/>
    </row>
    <row r="464">
      <c r="J464" s="12"/>
      <c r="K464" s="12"/>
      <c r="L464" s="12"/>
      <c r="M464" s="12"/>
    </row>
    <row r="465">
      <c r="J465" s="12"/>
      <c r="K465" s="12"/>
      <c r="L465" s="12"/>
      <c r="M465" s="12"/>
    </row>
    <row r="466">
      <c r="J466" s="12"/>
      <c r="K466" s="12"/>
      <c r="L466" s="12"/>
      <c r="M466" s="12"/>
    </row>
    <row r="467">
      <c r="J467" s="12"/>
      <c r="K467" s="12"/>
      <c r="L467" s="12"/>
      <c r="M467" s="12"/>
    </row>
    <row r="468">
      <c r="J468" s="12"/>
      <c r="K468" s="12"/>
      <c r="L468" s="12"/>
      <c r="M468" s="12"/>
    </row>
    <row r="469">
      <c r="J469" s="12"/>
      <c r="K469" s="12"/>
      <c r="L469" s="12"/>
      <c r="M469" s="12"/>
    </row>
    <row r="470">
      <c r="J470" s="12"/>
      <c r="K470" s="12"/>
      <c r="L470" s="12"/>
      <c r="M470" s="12"/>
    </row>
    <row r="471">
      <c r="J471" s="12"/>
      <c r="K471" s="12"/>
      <c r="L471" s="12"/>
      <c r="M471" s="12"/>
    </row>
    <row r="472">
      <c r="J472" s="12"/>
      <c r="K472" s="12"/>
      <c r="L472" s="12"/>
      <c r="M472" s="12"/>
    </row>
    <row r="473">
      <c r="J473" s="12"/>
      <c r="K473" s="12"/>
      <c r="L473" s="12"/>
      <c r="M473" s="12"/>
    </row>
    <row r="474">
      <c r="J474" s="12"/>
      <c r="K474" s="12"/>
      <c r="L474" s="12"/>
      <c r="M474" s="12"/>
    </row>
    <row r="475">
      <c r="J475" s="12"/>
      <c r="K475" s="12"/>
      <c r="L475" s="12"/>
      <c r="M475" s="12"/>
    </row>
    <row r="476">
      <c r="J476" s="12"/>
      <c r="K476" s="12"/>
      <c r="L476" s="12"/>
      <c r="M476" s="12"/>
    </row>
    <row r="477">
      <c r="J477" s="12"/>
      <c r="K477" s="12"/>
      <c r="L477" s="12"/>
      <c r="M477" s="12"/>
    </row>
    <row r="478">
      <c r="J478" s="12"/>
      <c r="K478" s="12"/>
      <c r="L478" s="12"/>
      <c r="M478" s="12"/>
    </row>
    <row r="479">
      <c r="J479" s="12"/>
      <c r="K479" s="12"/>
      <c r="L479" s="12"/>
      <c r="M479" s="12"/>
    </row>
    <row r="480">
      <c r="J480" s="12"/>
      <c r="K480" s="12"/>
      <c r="L480" s="12"/>
      <c r="M480" s="12"/>
    </row>
    <row r="481">
      <c r="J481" s="12"/>
      <c r="K481" s="12"/>
      <c r="L481" s="12"/>
      <c r="M481" s="12"/>
    </row>
    <row r="482">
      <c r="J482" s="12"/>
      <c r="K482" s="12"/>
      <c r="L482" s="12"/>
      <c r="M482" s="12"/>
    </row>
    <row r="483">
      <c r="J483" s="12"/>
      <c r="K483" s="12"/>
      <c r="L483" s="12"/>
      <c r="M483" s="12"/>
    </row>
    <row r="484">
      <c r="J484" s="12"/>
      <c r="K484" s="12"/>
      <c r="L484" s="12"/>
      <c r="M484" s="12"/>
    </row>
    <row r="485">
      <c r="J485" s="12"/>
      <c r="K485" s="12"/>
      <c r="L485" s="12"/>
      <c r="M485" s="12"/>
    </row>
    <row r="486">
      <c r="J486" s="12"/>
      <c r="K486" s="12"/>
      <c r="L486" s="12"/>
      <c r="M486" s="12"/>
    </row>
    <row r="487">
      <c r="J487" s="12"/>
      <c r="K487" s="12"/>
      <c r="L487" s="12"/>
      <c r="M487" s="12"/>
    </row>
    <row r="488">
      <c r="J488" s="12"/>
      <c r="K488" s="12"/>
      <c r="L488" s="12"/>
      <c r="M488" s="12"/>
    </row>
    <row r="489">
      <c r="J489" s="12"/>
      <c r="K489" s="12"/>
      <c r="L489" s="12"/>
      <c r="M489" s="12"/>
    </row>
    <row r="490">
      <c r="J490" s="12"/>
      <c r="K490" s="12"/>
      <c r="L490" s="12"/>
      <c r="M490" s="12"/>
    </row>
    <row r="491">
      <c r="J491" s="12"/>
      <c r="K491" s="12"/>
      <c r="L491" s="12"/>
      <c r="M491" s="12"/>
    </row>
    <row r="492">
      <c r="J492" s="12"/>
      <c r="K492" s="12"/>
      <c r="L492" s="12"/>
      <c r="M492" s="12"/>
    </row>
    <row r="493">
      <c r="J493" s="12"/>
      <c r="K493" s="12"/>
      <c r="L493" s="12"/>
      <c r="M493" s="12"/>
    </row>
    <row r="494">
      <c r="J494" s="12"/>
      <c r="K494" s="12"/>
      <c r="L494" s="12"/>
      <c r="M494" s="12"/>
    </row>
    <row r="495">
      <c r="J495" s="12"/>
      <c r="K495" s="12"/>
      <c r="L495" s="12"/>
      <c r="M495" s="12"/>
    </row>
    <row r="496">
      <c r="J496" s="12"/>
      <c r="K496" s="12"/>
      <c r="L496" s="12"/>
      <c r="M496" s="12"/>
    </row>
    <row r="497">
      <c r="J497" s="12"/>
      <c r="K497" s="12"/>
      <c r="L497" s="12"/>
      <c r="M497" s="12"/>
    </row>
    <row r="498">
      <c r="J498" s="12"/>
      <c r="K498" s="12"/>
      <c r="L498" s="12"/>
      <c r="M498" s="12"/>
    </row>
    <row r="499">
      <c r="J499" s="12"/>
      <c r="K499" s="12"/>
      <c r="L499" s="12"/>
      <c r="M499" s="12"/>
    </row>
    <row r="500">
      <c r="J500" s="12"/>
      <c r="K500" s="12"/>
      <c r="L500" s="12"/>
      <c r="M500" s="12"/>
    </row>
    <row r="501">
      <c r="J501" s="12"/>
      <c r="K501" s="12"/>
      <c r="L501" s="12"/>
      <c r="M501" s="12"/>
    </row>
    <row r="502">
      <c r="J502" s="12"/>
      <c r="K502" s="12"/>
      <c r="L502" s="12"/>
      <c r="M502" s="12"/>
    </row>
    <row r="503">
      <c r="J503" s="12"/>
      <c r="K503" s="12"/>
      <c r="L503" s="12"/>
      <c r="M503" s="12"/>
    </row>
    <row r="504">
      <c r="J504" s="12"/>
      <c r="K504" s="12"/>
      <c r="L504" s="12"/>
      <c r="M504" s="12"/>
    </row>
    <row r="505">
      <c r="J505" s="12"/>
      <c r="K505" s="12"/>
      <c r="L505" s="12"/>
      <c r="M505" s="12"/>
    </row>
    <row r="506">
      <c r="J506" s="12"/>
      <c r="K506" s="12"/>
      <c r="L506" s="12"/>
      <c r="M506" s="12"/>
    </row>
    <row r="507">
      <c r="J507" s="12"/>
      <c r="K507" s="12"/>
      <c r="L507" s="12"/>
      <c r="M507" s="12"/>
    </row>
    <row r="508">
      <c r="J508" s="12"/>
      <c r="K508" s="12"/>
      <c r="L508" s="12"/>
      <c r="M508" s="12"/>
    </row>
    <row r="509">
      <c r="J509" s="12"/>
      <c r="K509" s="12"/>
      <c r="L509" s="12"/>
      <c r="M509" s="12"/>
    </row>
    <row r="510">
      <c r="J510" s="12"/>
      <c r="K510" s="12"/>
      <c r="L510" s="12"/>
      <c r="M510" s="12"/>
    </row>
    <row r="511">
      <c r="J511" s="12"/>
      <c r="K511" s="12"/>
      <c r="L511" s="12"/>
      <c r="M511" s="12"/>
    </row>
    <row r="512">
      <c r="J512" s="12"/>
      <c r="K512" s="12"/>
      <c r="L512" s="12"/>
      <c r="M512" s="12"/>
    </row>
    <row r="513">
      <c r="J513" s="12"/>
      <c r="K513" s="12"/>
      <c r="L513" s="12"/>
      <c r="M513" s="12"/>
    </row>
    <row r="514">
      <c r="J514" s="12"/>
      <c r="K514" s="12"/>
      <c r="L514" s="12"/>
      <c r="M514" s="12"/>
    </row>
    <row r="515">
      <c r="J515" s="12"/>
      <c r="K515" s="12"/>
      <c r="L515" s="12"/>
      <c r="M515" s="12"/>
    </row>
    <row r="516">
      <c r="J516" s="12"/>
      <c r="K516" s="12"/>
      <c r="L516" s="12"/>
      <c r="M516" s="12"/>
    </row>
    <row r="517">
      <c r="J517" s="12"/>
      <c r="K517" s="12"/>
      <c r="L517" s="12"/>
      <c r="M517" s="12"/>
    </row>
    <row r="518">
      <c r="J518" s="12"/>
      <c r="K518" s="12"/>
      <c r="L518" s="12"/>
      <c r="M518" s="12"/>
    </row>
    <row r="519">
      <c r="J519" s="12"/>
      <c r="K519" s="12"/>
      <c r="L519" s="12"/>
      <c r="M519" s="12"/>
    </row>
    <row r="520">
      <c r="J520" s="12"/>
      <c r="K520" s="12"/>
      <c r="L520" s="12"/>
      <c r="M520" s="12"/>
    </row>
    <row r="521">
      <c r="J521" s="12"/>
      <c r="K521" s="12"/>
      <c r="L521" s="12"/>
      <c r="M521" s="12"/>
    </row>
    <row r="522">
      <c r="J522" s="12"/>
      <c r="K522" s="12"/>
      <c r="L522" s="12"/>
      <c r="M522" s="12"/>
    </row>
    <row r="523">
      <c r="J523" s="12"/>
      <c r="K523" s="12"/>
      <c r="L523" s="12"/>
      <c r="M523" s="12"/>
    </row>
    <row r="524">
      <c r="J524" s="12"/>
      <c r="K524" s="12"/>
      <c r="L524" s="12"/>
      <c r="M524" s="12"/>
    </row>
    <row r="525">
      <c r="J525" s="12"/>
      <c r="K525" s="12"/>
      <c r="L525" s="12"/>
      <c r="M525" s="12"/>
    </row>
    <row r="526">
      <c r="J526" s="12"/>
      <c r="K526" s="12"/>
      <c r="L526" s="12"/>
      <c r="M526" s="12"/>
    </row>
    <row r="527">
      <c r="J527" s="12"/>
      <c r="K527" s="12"/>
      <c r="L527" s="12"/>
      <c r="M527" s="12"/>
    </row>
    <row r="528">
      <c r="J528" s="12"/>
      <c r="K528" s="12"/>
      <c r="L528" s="12"/>
      <c r="M528" s="12"/>
    </row>
    <row r="529">
      <c r="J529" s="12"/>
      <c r="K529" s="12"/>
      <c r="L529" s="12"/>
      <c r="M529" s="12"/>
    </row>
    <row r="530">
      <c r="J530" s="12"/>
      <c r="K530" s="12"/>
      <c r="L530" s="12"/>
      <c r="M530" s="12"/>
    </row>
    <row r="531">
      <c r="J531" s="12"/>
      <c r="K531" s="12"/>
      <c r="L531" s="12"/>
      <c r="M531" s="12"/>
    </row>
    <row r="532">
      <c r="J532" s="12"/>
      <c r="K532" s="12"/>
      <c r="L532" s="12"/>
      <c r="M532" s="12"/>
    </row>
    <row r="533">
      <c r="J533" s="12"/>
      <c r="K533" s="12"/>
      <c r="L533" s="12"/>
      <c r="M533" s="12"/>
    </row>
    <row r="534">
      <c r="J534" s="12"/>
      <c r="K534" s="12"/>
      <c r="L534" s="12"/>
      <c r="M534" s="12"/>
    </row>
    <row r="535">
      <c r="J535" s="12"/>
      <c r="K535" s="12"/>
      <c r="L535" s="12"/>
      <c r="M535" s="12"/>
    </row>
    <row r="536">
      <c r="J536" s="12"/>
      <c r="K536" s="12"/>
      <c r="L536" s="12"/>
      <c r="M536" s="12"/>
    </row>
    <row r="537">
      <c r="J537" s="12"/>
      <c r="K537" s="12"/>
      <c r="L537" s="12"/>
      <c r="M537" s="12"/>
    </row>
    <row r="538">
      <c r="J538" s="12"/>
      <c r="K538" s="12"/>
      <c r="L538" s="12"/>
      <c r="M538" s="12"/>
    </row>
    <row r="539">
      <c r="J539" s="12"/>
      <c r="K539" s="12"/>
      <c r="L539" s="12"/>
      <c r="M539" s="12"/>
    </row>
    <row r="540">
      <c r="J540" s="12"/>
      <c r="K540" s="12"/>
      <c r="L540" s="12"/>
      <c r="M540" s="12"/>
    </row>
    <row r="541">
      <c r="J541" s="12"/>
      <c r="K541" s="12"/>
      <c r="L541" s="12"/>
      <c r="M541" s="12"/>
    </row>
    <row r="542">
      <c r="J542" s="12"/>
      <c r="K542" s="12"/>
      <c r="L542" s="12"/>
      <c r="M542" s="12"/>
    </row>
    <row r="543">
      <c r="J543" s="12"/>
      <c r="K543" s="12"/>
      <c r="L543" s="12"/>
      <c r="M543" s="12"/>
    </row>
    <row r="544">
      <c r="J544" s="12"/>
      <c r="K544" s="12"/>
      <c r="L544" s="12"/>
      <c r="M544" s="12"/>
    </row>
    <row r="545">
      <c r="J545" s="12"/>
      <c r="K545" s="12"/>
      <c r="L545" s="12"/>
      <c r="M545" s="12"/>
    </row>
    <row r="546">
      <c r="J546" s="12"/>
      <c r="K546" s="12"/>
      <c r="L546" s="12"/>
      <c r="M546" s="12"/>
    </row>
    <row r="547">
      <c r="J547" s="12"/>
      <c r="K547" s="12"/>
      <c r="L547" s="12"/>
      <c r="M547" s="12"/>
    </row>
    <row r="548">
      <c r="J548" s="12"/>
      <c r="K548" s="12"/>
      <c r="L548" s="12"/>
      <c r="M548" s="12"/>
    </row>
    <row r="549">
      <c r="J549" s="12"/>
      <c r="K549" s="12"/>
      <c r="L549" s="12"/>
      <c r="M549" s="12"/>
    </row>
    <row r="550">
      <c r="J550" s="12"/>
      <c r="K550" s="12"/>
      <c r="L550" s="12"/>
      <c r="M550" s="12"/>
    </row>
    <row r="551">
      <c r="J551" s="12"/>
      <c r="K551" s="12"/>
      <c r="L551" s="12"/>
      <c r="M551" s="12"/>
    </row>
    <row r="552">
      <c r="J552" s="12"/>
      <c r="K552" s="12"/>
      <c r="L552" s="12"/>
      <c r="M552" s="12"/>
    </row>
    <row r="553">
      <c r="J553" s="12"/>
      <c r="K553" s="12"/>
      <c r="L553" s="12"/>
      <c r="M553" s="12"/>
    </row>
    <row r="554">
      <c r="J554" s="12"/>
      <c r="K554" s="12"/>
      <c r="L554" s="12"/>
      <c r="M554" s="12"/>
    </row>
    <row r="555">
      <c r="J555" s="12"/>
      <c r="K555" s="12"/>
      <c r="L555" s="12"/>
      <c r="M555" s="12"/>
    </row>
    <row r="556">
      <c r="J556" s="12"/>
      <c r="K556" s="12"/>
      <c r="L556" s="12"/>
      <c r="M556" s="12"/>
    </row>
    <row r="557">
      <c r="J557" s="12"/>
      <c r="K557" s="12"/>
      <c r="L557" s="12"/>
      <c r="M557" s="12"/>
    </row>
    <row r="558">
      <c r="J558" s="12"/>
      <c r="K558" s="12"/>
      <c r="L558" s="12"/>
      <c r="M558" s="12"/>
    </row>
    <row r="559">
      <c r="J559" s="12"/>
      <c r="K559" s="12"/>
      <c r="L559" s="12"/>
      <c r="M559" s="12"/>
    </row>
    <row r="560">
      <c r="J560" s="12"/>
      <c r="K560" s="12"/>
      <c r="L560" s="12"/>
      <c r="M560" s="12"/>
    </row>
    <row r="561">
      <c r="J561" s="12"/>
      <c r="K561" s="12"/>
      <c r="L561" s="12"/>
      <c r="M561" s="12"/>
    </row>
    <row r="562">
      <c r="J562" s="12"/>
      <c r="K562" s="12"/>
      <c r="L562" s="12"/>
      <c r="M562" s="12"/>
    </row>
    <row r="563">
      <c r="J563" s="12"/>
      <c r="K563" s="12"/>
      <c r="L563" s="12"/>
      <c r="M563" s="12"/>
    </row>
    <row r="564">
      <c r="J564" s="12"/>
      <c r="K564" s="12"/>
      <c r="L564" s="12"/>
      <c r="M564" s="12"/>
    </row>
    <row r="565">
      <c r="J565" s="12"/>
      <c r="K565" s="12"/>
      <c r="L565" s="12"/>
      <c r="M565" s="12"/>
    </row>
    <row r="566">
      <c r="J566" s="12"/>
      <c r="K566" s="12"/>
      <c r="L566" s="12"/>
      <c r="M566" s="12"/>
    </row>
    <row r="567">
      <c r="J567" s="12"/>
      <c r="K567" s="12"/>
      <c r="L567" s="12"/>
      <c r="M567" s="12"/>
    </row>
    <row r="568">
      <c r="J568" s="12"/>
      <c r="K568" s="12"/>
      <c r="L568" s="12"/>
      <c r="M568" s="12"/>
    </row>
    <row r="569">
      <c r="J569" s="12"/>
      <c r="K569" s="12"/>
      <c r="L569" s="12"/>
      <c r="M569" s="12"/>
    </row>
    <row r="570">
      <c r="J570" s="12"/>
      <c r="K570" s="12"/>
      <c r="L570" s="12"/>
      <c r="M570" s="12"/>
    </row>
    <row r="571">
      <c r="J571" s="12"/>
      <c r="K571" s="12"/>
      <c r="L571" s="12"/>
      <c r="M571" s="12"/>
    </row>
    <row r="572">
      <c r="J572" s="12"/>
      <c r="K572" s="12"/>
      <c r="L572" s="12"/>
      <c r="M572" s="12"/>
    </row>
    <row r="573">
      <c r="J573" s="12"/>
      <c r="K573" s="12"/>
      <c r="L573" s="12"/>
      <c r="M573" s="12"/>
    </row>
    <row r="574">
      <c r="J574" s="12"/>
      <c r="K574" s="12"/>
      <c r="L574" s="12"/>
      <c r="M574" s="12"/>
    </row>
    <row r="575">
      <c r="J575" s="12"/>
      <c r="K575" s="12"/>
      <c r="L575" s="12"/>
      <c r="M575" s="12"/>
    </row>
    <row r="576">
      <c r="J576" s="12"/>
      <c r="K576" s="12"/>
      <c r="L576" s="12"/>
      <c r="M576" s="12"/>
    </row>
    <row r="577">
      <c r="J577" s="12"/>
      <c r="K577" s="12"/>
      <c r="L577" s="12"/>
      <c r="M577" s="12"/>
    </row>
    <row r="578">
      <c r="J578" s="12"/>
      <c r="K578" s="12"/>
      <c r="L578" s="12"/>
      <c r="M578" s="12"/>
    </row>
    <row r="579">
      <c r="J579" s="12"/>
      <c r="K579" s="12"/>
      <c r="L579" s="12"/>
      <c r="M579" s="12"/>
    </row>
    <row r="580">
      <c r="J580" s="12"/>
      <c r="K580" s="12"/>
      <c r="L580" s="12"/>
      <c r="M580" s="12"/>
    </row>
    <row r="581">
      <c r="J581" s="12"/>
      <c r="K581" s="12"/>
      <c r="L581" s="12"/>
      <c r="M581" s="12"/>
    </row>
    <row r="582">
      <c r="J582" s="12"/>
      <c r="K582" s="12"/>
      <c r="L582" s="12"/>
      <c r="M582" s="12"/>
    </row>
    <row r="583">
      <c r="J583" s="12"/>
      <c r="K583" s="12"/>
      <c r="L583" s="12"/>
      <c r="M583" s="12"/>
    </row>
    <row r="584">
      <c r="J584" s="12"/>
      <c r="K584" s="12"/>
      <c r="L584" s="12"/>
      <c r="M584" s="12"/>
    </row>
    <row r="585">
      <c r="J585" s="12"/>
      <c r="K585" s="12"/>
      <c r="L585" s="12"/>
      <c r="M585" s="12"/>
    </row>
    <row r="586">
      <c r="J586" s="12"/>
      <c r="K586" s="12"/>
      <c r="L586" s="12"/>
      <c r="M586" s="12"/>
    </row>
    <row r="587">
      <c r="J587" s="12"/>
      <c r="K587" s="12"/>
      <c r="L587" s="12"/>
      <c r="M587" s="12"/>
    </row>
    <row r="588">
      <c r="J588" s="12"/>
      <c r="K588" s="12"/>
      <c r="L588" s="12"/>
      <c r="M588" s="12"/>
    </row>
    <row r="589">
      <c r="J589" s="12"/>
      <c r="K589" s="12"/>
      <c r="L589" s="12"/>
      <c r="M589" s="12"/>
    </row>
    <row r="590">
      <c r="J590" s="12"/>
      <c r="K590" s="12"/>
      <c r="L590" s="12"/>
      <c r="M590" s="12"/>
    </row>
    <row r="591">
      <c r="J591" s="12"/>
      <c r="K591" s="12"/>
      <c r="L591" s="12"/>
      <c r="M591" s="12"/>
    </row>
    <row r="592">
      <c r="J592" s="12"/>
      <c r="K592" s="12"/>
      <c r="L592" s="12"/>
      <c r="M592" s="12"/>
    </row>
    <row r="593">
      <c r="J593" s="12"/>
      <c r="K593" s="12"/>
      <c r="L593" s="12"/>
      <c r="M593" s="12"/>
    </row>
    <row r="594">
      <c r="J594" s="12"/>
      <c r="K594" s="12"/>
      <c r="L594" s="12"/>
      <c r="M594" s="12"/>
    </row>
    <row r="595">
      <c r="J595" s="12"/>
      <c r="K595" s="12"/>
      <c r="L595" s="12"/>
      <c r="M595" s="12"/>
    </row>
    <row r="596">
      <c r="J596" s="12"/>
      <c r="K596" s="12"/>
      <c r="L596" s="12"/>
      <c r="M596" s="12"/>
    </row>
    <row r="597">
      <c r="J597" s="12"/>
      <c r="K597" s="12"/>
      <c r="L597" s="12"/>
      <c r="M597" s="12"/>
    </row>
    <row r="598">
      <c r="J598" s="12"/>
      <c r="K598" s="12"/>
      <c r="L598" s="12"/>
      <c r="M598" s="12"/>
    </row>
    <row r="599">
      <c r="J599" s="12"/>
      <c r="K599" s="12"/>
      <c r="L599" s="12"/>
      <c r="M599" s="12"/>
    </row>
    <row r="600">
      <c r="J600" s="12"/>
      <c r="K600" s="12"/>
      <c r="L600" s="12"/>
      <c r="M600" s="12"/>
    </row>
    <row r="601">
      <c r="J601" s="12"/>
      <c r="K601" s="12"/>
      <c r="L601" s="12"/>
      <c r="M601" s="12"/>
    </row>
    <row r="602">
      <c r="J602" s="12"/>
      <c r="K602" s="12"/>
      <c r="L602" s="12"/>
      <c r="M602" s="12"/>
    </row>
    <row r="603">
      <c r="J603" s="12"/>
      <c r="K603" s="12"/>
      <c r="L603" s="12"/>
      <c r="M603" s="12"/>
    </row>
    <row r="604">
      <c r="J604" s="12"/>
      <c r="K604" s="12"/>
      <c r="L604" s="12"/>
      <c r="M604" s="12"/>
    </row>
    <row r="605">
      <c r="J605" s="12"/>
      <c r="K605" s="12"/>
      <c r="L605" s="12"/>
      <c r="M605" s="12"/>
    </row>
    <row r="606">
      <c r="J606" s="12"/>
      <c r="K606" s="12"/>
      <c r="L606" s="12"/>
      <c r="M606" s="12"/>
    </row>
    <row r="607">
      <c r="J607" s="12"/>
      <c r="K607" s="12"/>
      <c r="L607" s="12"/>
      <c r="M607" s="12"/>
    </row>
    <row r="608">
      <c r="J608" s="12"/>
      <c r="K608" s="12"/>
      <c r="L608" s="12"/>
      <c r="M608" s="12"/>
    </row>
    <row r="609">
      <c r="J609" s="12"/>
      <c r="K609" s="12"/>
      <c r="L609" s="12"/>
      <c r="M609" s="12"/>
    </row>
    <row r="610">
      <c r="J610" s="12"/>
      <c r="K610" s="12"/>
      <c r="L610" s="12"/>
      <c r="M610" s="12"/>
    </row>
    <row r="611">
      <c r="J611" s="12"/>
      <c r="K611" s="12"/>
      <c r="L611" s="12"/>
      <c r="M611" s="12"/>
    </row>
    <row r="612">
      <c r="J612" s="12"/>
      <c r="K612" s="12"/>
      <c r="L612" s="12"/>
      <c r="M612" s="12"/>
    </row>
    <row r="613">
      <c r="J613" s="12"/>
      <c r="K613" s="12"/>
      <c r="L613" s="12"/>
      <c r="M613" s="12"/>
    </row>
    <row r="614">
      <c r="J614" s="12"/>
      <c r="K614" s="12"/>
      <c r="L614" s="12"/>
      <c r="M614" s="12"/>
    </row>
    <row r="615">
      <c r="J615" s="12"/>
      <c r="K615" s="12"/>
      <c r="L615" s="12"/>
      <c r="M615" s="12"/>
    </row>
    <row r="616">
      <c r="J616" s="12"/>
      <c r="K616" s="12"/>
      <c r="L616" s="12"/>
      <c r="M616" s="12"/>
    </row>
    <row r="617">
      <c r="J617" s="12"/>
      <c r="K617" s="12"/>
      <c r="L617" s="12"/>
      <c r="M617" s="12"/>
    </row>
    <row r="618">
      <c r="J618" s="12"/>
      <c r="K618" s="12"/>
      <c r="L618" s="12"/>
      <c r="M618" s="12"/>
    </row>
    <row r="619">
      <c r="J619" s="12"/>
      <c r="K619" s="12"/>
      <c r="L619" s="12"/>
      <c r="M619" s="12"/>
    </row>
    <row r="620">
      <c r="J620" s="12"/>
      <c r="K620" s="12"/>
      <c r="L620" s="12"/>
      <c r="M620" s="12"/>
    </row>
    <row r="621">
      <c r="J621" s="12"/>
      <c r="K621" s="12"/>
      <c r="L621" s="12"/>
      <c r="M621" s="12"/>
    </row>
    <row r="622">
      <c r="J622" s="12"/>
      <c r="K622" s="12"/>
      <c r="L622" s="12"/>
      <c r="M622" s="12"/>
    </row>
    <row r="623">
      <c r="J623" s="12"/>
      <c r="K623" s="12"/>
      <c r="L623" s="12"/>
      <c r="M623" s="12"/>
    </row>
    <row r="624">
      <c r="J624" s="12"/>
      <c r="K624" s="12"/>
      <c r="L624" s="12"/>
      <c r="M624" s="12"/>
    </row>
    <row r="625">
      <c r="J625" s="12"/>
      <c r="K625" s="12"/>
      <c r="L625" s="12"/>
      <c r="M625" s="12"/>
    </row>
    <row r="626">
      <c r="J626" s="12"/>
      <c r="K626" s="12"/>
      <c r="L626" s="12"/>
      <c r="M626" s="12"/>
    </row>
    <row r="627">
      <c r="J627" s="12"/>
      <c r="K627" s="12"/>
      <c r="L627" s="12"/>
      <c r="M627" s="12"/>
    </row>
    <row r="628">
      <c r="J628" s="12"/>
      <c r="K628" s="12"/>
      <c r="L628" s="12"/>
      <c r="M628" s="12"/>
    </row>
    <row r="629">
      <c r="J629" s="12"/>
      <c r="K629" s="12"/>
      <c r="L629" s="12"/>
      <c r="M629" s="12"/>
    </row>
    <row r="630">
      <c r="J630" s="12"/>
      <c r="K630" s="12"/>
      <c r="L630" s="12"/>
      <c r="M630" s="12"/>
    </row>
    <row r="631">
      <c r="J631" s="12"/>
      <c r="K631" s="12"/>
      <c r="L631" s="12"/>
      <c r="M631" s="12"/>
    </row>
    <row r="632">
      <c r="J632" s="12"/>
      <c r="K632" s="12"/>
      <c r="L632" s="12"/>
      <c r="M632" s="12"/>
    </row>
    <row r="633">
      <c r="J633" s="12"/>
      <c r="K633" s="12"/>
      <c r="L633" s="12"/>
      <c r="M633" s="12"/>
    </row>
    <row r="634">
      <c r="J634" s="12"/>
      <c r="K634" s="12"/>
      <c r="L634" s="12"/>
      <c r="M634" s="12"/>
    </row>
    <row r="635">
      <c r="J635" s="12"/>
      <c r="K635" s="12"/>
      <c r="L635" s="12"/>
      <c r="M635" s="12"/>
    </row>
    <row r="636">
      <c r="J636" s="12"/>
      <c r="K636" s="12"/>
      <c r="L636" s="12"/>
      <c r="M636" s="12"/>
    </row>
    <row r="637">
      <c r="J637" s="12"/>
      <c r="K637" s="12"/>
      <c r="L637" s="12"/>
      <c r="M637" s="12"/>
    </row>
    <row r="638">
      <c r="J638" s="12"/>
      <c r="K638" s="12"/>
      <c r="L638" s="12"/>
      <c r="M638" s="12"/>
    </row>
    <row r="639">
      <c r="J639" s="12"/>
      <c r="K639" s="12"/>
      <c r="L639" s="12"/>
      <c r="M639" s="12"/>
    </row>
    <row r="640">
      <c r="J640" s="12"/>
      <c r="K640" s="12"/>
      <c r="L640" s="12"/>
      <c r="M640" s="12"/>
    </row>
    <row r="641">
      <c r="J641" s="12"/>
      <c r="K641" s="12"/>
      <c r="L641" s="12"/>
      <c r="M641" s="12"/>
    </row>
    <row r="642">
      <c r="J642" s="12"/>
      <c r="K642" s="12"/>
      <c r="L642" s="12"/>
      <c r="M642" s="12"/>
    </row>
    <row r="643">
      <c r="J643" s="12"/>
      <c r="K643" s="12"/>
      <c r="L643" s="12"/>
      <c r="M643" s="12"/>
    </row>
    <row r="644">
      <c r="J644" s="12"/>
      <c r="K644" s="12"/>
      <c r="L644" s="12"/>
      <c r="M644" s="12"/>
    </row>
    <row r="645">
      <c r="J645" s="12"/>
      <c r="K645" s="12"/>
      <c r="L645" s="12"/>
      <c r="M645" s="12"/>
    </row>
    <row r="646">
      <c r="J646" s="12"/>
      <c r="K646" s="12"/>
      <c r="L646" s="12"/>
      <c r="M646" s="12"/>
    </row>
    <row r="647">
      <c r="J647" s="12"/>
      <c r="K647" s="12"/>
      <c r="L647" s="12"/>
      <c r="M647" s="12"/>
    </row>
    <row r="648">
      <c r="J648" s="12"/>
      <c r="K648" s="12"/>
      <c r="L648" s="12"/>
      <c r="M648" s="12"/>
    </row>
    <row r="649">
      <c r="J649" s="12"/>
      <c r="K649" s="12"/>
      <c r="L649" s="12"/>
      <c r="M649" s="12"/>
    </row>
    <row r="650">
      <c r="J650" s="12"/>
      <c r="K650" s="12"/>
      <c r="L650" s="12"/>
      <c r="M650" s="12"/>
    </row>
    <row r="651">
      <c r="J651" s="12"/>
      <c r="K651" s="12"/>
      <c r="L651" s="12"/>
      <c r="M651" s="12"/>
    </row>
    <row r="652">
      <c r="J652" s="12"/>
      <c r="K652" s="12"/>
      <c r="L652" s="12"/>
      <c r="M652" s="12"/>
    </row>
    <row r="653">
      <c r="J653" s="12"/>
      <c r="K653" s="12"/>
      <c r="L653" s="12"/>
      <c r="M653" s="12"/>
    </row>
    <row r="654">
      <c r="J654" s="12"/>
      <c r="K654" s="12"/>
      <c r="L654" s="12"/>
      <c r="M654" s="12"/>
    </row>
    <row r="655">
      <c r="J655" s="12"/>
      <c r="K655" s="12"/>
      <c r="L655" s="12"/>
      <c r="M655" s="12"/>
    </row>
    <row r="656">
      <c r="J656" s="12"/>
      <c r="K656" s="12"/>
      <c r="L656" s="12"/>
      <c r="M656" s="12"/>
    </row>
    <row r="657">
      <c r="J657" s="12"/>
      <c r="K657" s="12"/>
      <c r="L657" s="12"/>
      <c r="M657" s="12"/>
    </row>
    <row r="658">
      <c r="J658" s="12"/>
      <c r="K658" s="12"/>
      <c r="L658" s="12"/>
      <c r="M658" s="12"/>
    </row>
    <row r="659">
      <c r="J659" s="12"/>
      <c r="K659" s="12"/>
      <c r="L659" s="12"/>
      <c r="M659" s="12"/>
    </row>
    <row r="660">
      <c r="J660" s="12"/>
      <c r="K660" s="12"/>
      <c r="L660" s="12"/>
      <c r="M660" s="12"/>
    </row>
    <row r="661">
      <c r="J661" s="12"/>
      <c r="K661" s="12"/>
      <c r="L661" s="12"/>
      <c r="M661" s="12"/>
    </row>
    <row r="662">
      <c r="J662" s="12"/>
      <c r="K662" s="12"/>
      <c r="L662" s="12"/>
      <c r="M662" s="12"/>
    </row>
    <row r="663">
      <c r="J663" s="12"/>
      <c r="K663" s="12"/>
      <c r="L663" s="12"/>
      <c r="M663" s="12"/>
    </row>
    <row r="664">
      <c r="J664" s="12"/>
      <c r="K664" s="12"/>
      <c r="L664" s="12"/>
      <c r="M664" s="12"/>
    </row>
    <row r="665">
      <c r="J665" s="12"/>
      <c r="K665" s="12"/>
      <c r="L665" s="12"/>
      <c r="M665" s="12"/>
    </row>
    <row r="666">
      <c r="J666" s="12"/>
      <c r="K666" s="12"/>
      <c r="L666" s="12"/>
      <c r="M666" s="12"/>
    </row>
    <row r="667">
      <c r="J667" s="12"/>
      <c r="K667" s="12"/>
      <c r="L667" s="12"/>
      <c r="M667" s="12"/>
    </row>
    <row r="668">
      <c r="J668" s="12"/>
      <c r="K668" s="12"/>
      <c r="L668" s="12"/>
      <c r="M668" s="12"/>
    </row>
    <row r="669">
      <c r="J669" s="12"/>
      <c r="K669" s="12"/>
      <c r="L669" s="12"/>
      <c r="M669" s="12"/>
    </row>
    <row r="670">
      <c r="J670" s="12"/>
      <c r="K670" s="12"/>
      <c r="L670" s="12"/>
      <c r="M670" s="12"/>
    </row>
    <row r="671">
      <c r="J671" s="12"/>
      <c r="K671" s="12"/>
      <c r="L671" s="12"/>
      <c r="M671" s="12"/>
    </row>
    <row r="672">
      <c r="J672" s="12"/>
      <c r="K672" s="12"/>
      <c r="L672" s="12"/>
      <c r="M672" s="12"/>
    </row>
    <row r="673">
      <c r="J673" s="12"/>
      <c r="K673" s="12"/>
      <c r="L673" s="12"/>
      <c r="M673" s="12"/>
    </row>
    <row r="674">
      <c r="J674" s="12"/>
      <c r="K674" s="12"/>
      <c r="L674" s="12"/>
      <c r="M674" s="12"/>
    </row>
    <row r="675">
      <c r="J675" s="12"/>
      <c r="K675" s="12"/>
      <c r="L675" s="12"/>
      <c r="M675" s="12"/>
    </row>
    <row r="676">
      <c r="J676" s="12"/>
      <c r="K676" s="12"/>
      <c r="L676" s="12"/>
      <c r="M676" s="12"/>
    </row>
    <row r="677">
      <c r="J677" s="12"/>
      <c r="K677" s="12"/>
      <c r="L677" s="12"/>
      <c r="M677" s="12"/>
    </row>
    <row r="678">
      <c r="J678" s="12"/>
      <c r="K678" s="12"/>
      <c r="L678" s="12"/>
      <c r="M678" s="12"/>
    </row>
    <row r="679">
      <c r="J679" s="12"/>
      <c r="K679" s="12"/>
      <c r="L679" s="12"/>
      <c r="M679" s="12"/>
    </row>
    <row r="680">
      <c r="J680" s="12"/>
      <c r="K680" s="12"/>
      <c r="L680" s="12"/>
      <c r="M680" s="12"/>
    </row>
    <row r="681">
      <c r="J681" s="12"/>
      <c r="K681" s="12"/>
      <c r="L681" s="12"/>
      <c r="M681" s="12"/>
    </row>
    <row r="682">
      <c r="J682" s="12"/>
      <c r="K682" s="12"/>
      <c r="L682" s="12"/>
      <c r="M682" s="12"/>
    </row>
    <row r="683">
      <c r="J683" s="12"/>
      <c r="K683" s="12"/>
      <c r="L683" s="12"/>
      <c r="M683" s="12"/>
    </row>
    <row r="684">
      <c r="J684" s="12"/>
      <c r="K684" s="12"/>
      <c r="L684" s="12"/>
      <c r="M684" s="12"/>
    </row>
    <row r="685">
      <c r="J685" s="12"/>
      <c r="K685" s="12"/>
      <c r="L685" s="12"/>
      <c r="M685" s="12"/>
    </row>
    <row r="686">
      <c r="J686" s="12"/>
      <c r="K686" s="12"/>
      <c r="L686" s="12"/>
      <c r="M686" s="12"/>
    </row>
    <row r="687">
      <c r="J687" s="12"/>
      <c r="K687" s="12"/>
      <c r="L687" s="12"/>
      <c r="M687" s="12"/>
    </row>
    <row r="688">
      <c r="J688" s="12"/>
      <c r="K688" s="12"/>
      <c r="L688" s="12"/>
      <c r="M688" s="12"/>
    </row>
    <row r="689">
      <c r="J689" s="12"/>
      <c r="K689" s="12"/>
      <c r="L689" s="12"/>
      <c r="M689" s="12"/>
    </row>
    <row r="690">
      <c r="J690" s="12"/>
      <c r="K690" s="12"/>
      <c r="L690" s="12"/>
      <c r="M690" s="12"/>
    </row>
    <row r="691">
      <c r="J691" s="12"/>
      <c r="K691" s="12"/>
      <c r="L691" s="12"/>
      <c r="M691" s="12"/>
    </row>
    <row r="692">
      <c r="J692" s="12"/>
      <c r="K692" s="12"/>
      <c r="L692" s="12"/>
      <c r="M692" s="12"/>
    </row>
    <row r="693">
      <c r="J693" s="12"/>
      <c r="K693" s="12"/>
      <c r="L693" s="12"/>
      <c r="M693" s="12"/>
    </row>
    <row r="694">
      <c r="J694" s="12"/>
      <c r="K694" s="12"/>
      <c r="L694" s="12"/>
      <c r="M694" s="12"/>
    </row>
    <row r="695">
      <c r="J695" s="12"/>
      <c r="K695" s="12"/>
      <c r="L695" s="12"/>
      <c r="M695" s="12"/>
    </row>
    <row r="696">
      <c r="J696" s="12"/>
      <c r="K696" s="12"/>
      <c r="L696" s="12"/>
      <c r="M696" s="12"/>
    </row>
    <row r="697">
      <c r="J697" s="12"/>
      <c r="K697" s="12"/>
      <c r="L697" s="12"/>
      <c r="M697" s="12"/>
    </row>
    <row r="698">
      <c r="J698" s="12"/>
      <c r="K698" s="12"/>
      <c r="L698" s="12"/>
      <c r="M698" s="12"/>
    </row>
    <row r="699">
      <c r="J699" s="12"/>
      <c r="K699" s="12"/>
      <c r="L699" s="12"/>
      <c r="M699" s="12"/>
    </row>
    <row r="700">
      <c r="J700" s="12"/>
      <c r="K700" s="12"/>
      <c r="L700" s="12"/>
      <c r="M700" s="12"/>
    </row>
    <row r="701">
      <c r="J701" s="12"/>
      <c r="K701" s="12"/>
      <c r="L701" s="12"/>
      <c r="M701" s="12"/>
    </row>
    <row r="702">
      <c r="J702" s="12"/>
      <c r="K702" s="12"/>
      <c r="L702" s="12"/>
      <c r="M702" s="12"/>
    </row>
    <row r="703">
      <c r="J703" s="12"/>
      <c r="K703" s="12"/>
      <c r="L703" s="12"/>
      <c r="M703" s="12"/>
    </row>
    <row r="704">
      <c r="J704" s="12"/>
      <c r="K704" s="12"/>
      <c r="L704" s="12"/>
      <c r="M704" s="12"/>
    </row>
    <row r="705">
      <c r="J705" s="12"/>
      <c r="K705" s="12"/>
      <c r="L705" s="12"/>
      <c r="M705" s="12"/>
    </row>
    <row r="706">
      <c r="J706" s="12"/>
      <c r="K706" s="12"/>
      <c r="L706" s="12"/>
      <c r="M706" s="12"/>
    </row>
    <row r="707">
      <c r="J707" s="12"/>
      <c r="K707" s="12"/>
      <c r="L707" s="12"/>
      <c r="M707" s="12"/>
    </row>
    <row r="708">
      <c r="J708" s="12"/>
      <c r="K708" s="12"/>
      <c r="L708" s="12"/>
      <c r="M708" s="12"/>
    </row>
    <row r="709">
      <c r="J709" s="12"/>
      <c r="K709" s="12"/>
      <c r="L709" s="12"/>
      <c r="M709" s="12"/>
    </row>
    <row r="710">
      <c r="J710" s="12"/>
      <c r="K710" s="12"/>
      <c r="L710" s="12"/>
      <c r="M710" s="12"/>
    </row>
    <row r="711">
      <c r="J711" s="12"/>
      <c r="K711" s="12"/>
      <c r="L711" s="12"/>
      <c r="M711" s="12"/>
    </row>
    <row r="712">
      <c r="J712" s="12"/>
      <c r="K712" s="12"/>
      <c r="L712" s="12"/>
      <c r="M712" s="12"/>
    </row>
    <row r="713">
      <c r="J713" s="12"/>
      <c r="K713" s="12"/>
      <c r="L713" s="12"/>
      <c r="M713" s="12"/>
    </row>
    <row r="714">
      <c r="J714" s="12"/>
      <c r="K714" s="12"/>
      <c r="L714" s="12"/>
      <c r="M714" s="12"/>
    </row>
    <row r="715">
      <c r="J715" s="12"/>
      <c r="K715" s="12"/>
      <c r="L715" s="12"/>
      <c r="M715" s="12"/>
    </row>
    <row r="716">
      <c r="J716" s="12"/>
      <c r="K716" s="12"/>
      <c r="L716" s="12"/>
      <c r="M716" s="12"/>
    </row>
    <row r="717">
      <c r="J717" s="12"/>
      <c r="K717" s="12"/>
      <c r="L717" s="12"/>
      <c r="M717" s="12"/>
    </row>
    <row r="718">
      <c r="J718" s="12"/>
      <c r="K718" s="12"/>
      <c r="L718" s="12"/>
      <c r="M718" s="12"/>
    </row>
    <row r="719">
      <c r="J719" s="12"/>
      <c r="K719" s="12"/>
      <c r="L719" s="12"/>
      <c r="M719" s="12"/>
    </row>
    <row r="720">
      <c r="J720" s="12"/>
      <c r="K720" s="12"/>
      <c r="L720" s="12"/>
      <c r="M720" s="12"/>
    </row>
    <row r="721">
      <c r="J721" s="12"/>
      <c r="K721" s="12"/>
      <c r="L721" s="12"/>
      <c r="M721" s="12"/>
    </row>
    <row r="722">
      <c r="J722" s="12"/>
      <c r="K722" s="12"/>
      <c r="L722" s="12"/>
      <c r="M722" s="12"/>
    </row>
    <row r="723">
      <c r="J723" s="12"/>
      <c r="K723" s="12"/>
      <c r="L723" s="12"/>
      <c r="M723" s="12"/>
    </row>
    <row r="724">
      <c r="J724" s="12"/>
      <c r="K724" s="12"/>
      <c r="L724" s="12"/>
      <c r="M724" s="12"/>
    </row>
    <row r="725">
      <c r="J725" s="12"/>
      <c r="K725" s="12"/>
      <c r="L725" s="12"/>
      <c r="M725" s="12"/>
    </row>
    <row r="726">
      <c r="J726" s="12"/>
      <c r="K726" s="12"/>
      <c r="L726" s="12"/>
      <c r="M726" s="12"/>
    </row>
    <row r="727">
      <c r="J727" s="12"/>
      <c r="K727" s="12"/>
      <c r="L727" s="12"/>
      <c r="M727" s="12"/>
    </row>
    <row r="728">
      <c r="J728" s="12"/>
      <c r="K728" s="12"/>
      <c r="L728" s="12"/>
      <c r="M728" s="12"/>
    </row>
    <row r="729">
      <c r="J729" s="12"/>
      <c r="K729" s="12"/>
      <c r="L729" s="12"/>
      <c r="M729" s="12"/>
    </row>
    <row r="730">
      <c r="J730" s="12"/>
      <c r="K730" s="12"/>
      <c r="L730" s="12"/>
      <c r="M730" s="12"/>
    </row>
    <row r="731">
      <c r="J731" s="12"/>
      <c r="K731" s="12"/>
      <c r="L731" s="12"/>
      <c r="M731" s="12"/>
    </row>
    <row r="732">
      <c r="J732" s="12"/>
      <c r="K732" s="12"/>
      <c r="L732" s="12"/>
      <c r="M732" s="12"/>
    </row>
    <row r="733">
      <c r="J733" s="12"/>
      <c r="K733" s="12"/>
      <c r="L733" s="12"/>
      <c r="M733" s="12"/>
    </row>
    <row r="734">
      <c r="J734" s="12"/>
      <c r="K734" s="12"/>
      <c r="L734" s="12"/>
      <c r="M734" s="12"/>
    </row>
    <row r="735">
      <c r="J735" s="12"/>
      <c r="K735" s="12"/>
      <c r="L735" s="12"/>
      <c r="M735" s="12"/>
    </row>
    <row r="736">
      <c r="J736" s="12"/>
      <c r="K736" s="12"/>
      <c r="L736" s="12"/>
      <c r="M736" s="12"/>
    </row>
    <row r="737">
      <c r="J737" s="12"/>
      <c r="K737" s="12"/>
      <c r="L737" s="12"/>
      <c r="M737" s="12"/>
    </row>
    <row r="738">
      <c r="J738" s="12"/>
      <c r="K738" s="12"/>
      <c r="L738" s="12"/>
      <c r="M738" s="12"/>
    </row>
    <row r="739">
      <c r="J739" s="12"/>
      <c r="K739" s="12"/>
      <c r="L739" s="12"/>
      <c r="M739" s="12"/>
    </row>
    <row r="740">
      <c r="J740" s="12"/>
      <c r="K740" s="12"/>
      <c r="L740" s="12"/>
      <c r="M740" s="12"/>
    </row>
    <row r="741">
      <c r="J741" s="12"/>
      <c r="K741" s="12"/>
      <c r="L741" s="12"/>
      <c r="M741" s="12"/>
    </row>
    <row r="742">
      <c r="J742" s="12"/>
      <c r="K742" s="12"/>
      <c r="L742" s="12"/>
      <c r="M742" s="12"/>
    </row>
    <row r="743">
      <c r="J743" s="12"/>
      <c r="K743" s="12"/>
      <c r="L743" s="12"/>
      <c r="M743" s="12"/>
    </row>
    <row r="744">
      <c r="J744" s="12"/>
      <c r="K744" s="12"/>
      <c r="L744" s="12"/>
      <c r="M744" s="12"/>
    </row>
    <row r="745">
      <c r="J745" s="12"/>
      <c r="K745" s="12"/>
      <c r="L745" s="12"/>
      <c r="M745" s="12"/>
    </row>
    <row r="746">
      <c r="J746" s="12"/>
      <c r="K746" s="12"/>
      <c r="L746" s="12"/>
      <c r="M746" s="12"/>
    </row>
    <row r="747">
      <c r="J747" s="12"/>
      <c r="K747" s="12"/>
      <c r="L747" s="12"/>
      <c r="M747" s="12"/>
    </row>
    <row r="748">
      <c r="J748" s="12"/>
      <c r="K748" s="12"/>
      <c r="L748" s="12"/>
      <c r="M748" s="12"/>
    </row>
    <row r="749">
      <c r="J749" s="12"/>
      <c r="K749" s="12"/>
      <c r="L749" s="12"/>
      <c r="M749" s="12"/>
    </row>
    <row r="750">
      <c r="J750" s="12"/>
      <c r="K750" s="12"/>
      <c r="L750" s="12"/>
      <c r="M750" s="12"/>
    </row>
    <row r="751">
      <c r="J751" s="12"/>
      <c r="K751" s="12"/>
      <c r="L751" s="12"/>
      <c r="M751" s="12"/>
    </row>
    <row r="752">
      <c r="J752" s="12"/>
      <c r="K752" s="12"/>
      <c r="L752" s="12"/>
      <c r="M752" s="12"/>
    </row>
    <row r="753">
      <c r="J753" s="12"/>
      <c r="K753" s="12"/>
      <c r="L753" s="12"/>
      <c r="M753" s="12"/>
    </row>
    <row r="754">
      <c r="J754" s="12"/>
      <c r="K754" s="12"/>
      <c r="L754" s="12"/>
      <c r="M754" s="12"/>
    </row>
    <row r="755">
      <c r="J755" s="12"/>
      <c r="K755" s="12"/>
      <c r="L755" s="12"/>
      <c r="M755" s="12"/>
    </row>
    <row r="756">
      <c r="J756" s="12"/>
      <c r="K756" s="12"/>
      <c r="L756" s="12"/>
      <c r="M756" s="12"/>
    </row>
    <row r="757">
      <c r="J757" s="12"/>
      <c r="K757" s="12"/>
      <c r="L757" s="12"/>
      <c r="M757" s="12"/>
    </row>
    <row r="758">
      <c r="J758" s="12"/>
      <c r="K758" s="12"/>
      <c r="L758" s="12"/>
      <c r="M758" s="12"/>
    </row>
    <row r="759">
      <c r="J759" s="12"/>
      <c r="K759" s="12"/>
      <c r="L759" s="12"/>
      <c r="M759" s="12"/>
    </row>
    <row r="760">
      <c r="J760" s="12"/>
      <c r="K760" s="12"/>
      <c r="L760" s="12"/>
      <c r="M760" s="12"/>
    </row>
    <row r="761">
      <c r="J761" s="12"/>
      <c r="K761" s="12"/>
      <c r="L761" s="12"/>
      <c r="M761" s="12"/>
    </row>
    <row r="762">
      <c r="J762" s="12"/>
      <c r="K762" s="12"/>
      <c r="L762" s="12"/>
      <c r="M762" s="12"/>
    </row>
    <row r="763">
      <c r="J763" s="12"/>
      <c r="K763" s="12"/>
      <c r="L763" s="12"/>
      <c r="M763" s="12"/>
    </row>
    <row r="764">
      <c r="J764" s="12"/>
      <c r="K764" s="12"/>
      <c r="L764" s="12"/>
      <c r="M764" s="12"/>
    </row>
    <row r="765">
      <c r="J765" s="12"/>
      <c r="K765" s="12"/>
      <c r="L765" s="12"/>
      <c r="M765" s="12"/>
    </row>
    <row r="766">
      <c r="J766" s="12"/>
      <c r="K766" s="12"/>
      <c r="L766" s="12"/>
      <c r="M766" s="12"/>
    </row>
    <row r="767">
      <c r="J767" s="12"/>
      <c r="K767" s="12"/>
      <c r="L767" s="12"/>
      <c r="M767" s="12"/>
    </row>
    <row r="768">
      <c r="J768" s="12"/>
      <c r="K768" s="12"/>
      <c r="L768" s="12"/>
      <c r="M768" s="12"/>
    </row>
    <row r="769">
      <c r="J769" s="12"/>
      <c r="K769" s="12"/>
      <c r="L769" s="12"/>
      <c r="M769" s="12"/>
    </row>
    <row r="770">
      <c r="J770" s="12"/>
      <c r="K770" s="12"/>
      <c r="L770" s="12"/>
      <c r="M770" s="12"/>
    </row>
    <row r="771">
      <c r="J771" s="12"/>
      <c r="K771" s="12"/>
      <c r="L771" s="12"/>
      <c r="M771" s="12"/>
    </row>
    <row r="772">
      <c r="J772" s="12"/>
      <c r="K772" s="12"/>
      <c r="L772" s="12"/>
      <c r="M772" s="12"/>
    </row>
    <row r="773">
      <c r="J773" s="12"/>
      <c r="K773" s="12"/>
      <c r="L773" s="12"/>
      <c r="M773" s="12"/>
    </row>
    <row r="774">
      <c r="J774" s="12"/>
      <c r="K774" s="12"/>
      <c r="L774" s="12"/>
      <c r="M774" s="12"/>
    </row>
    <row r="775">
      <c r="J775" s="12"/>
      <c r="K775" s="12"/>
      <c r="L775" s="12"/>
      <c r="M775" s="12"/>
    </row>
    <row r="776">
      <c r="J776" s="12"/>
      <c r="K776" s="12"/>
      <c r="L776" s="12"/>
      <c r="M776" s="12"/>
    </row>
    <row r="777">
      <c r="J777" s="12"/>
      <c r="K777" s="12"/>
      <c r="L777" s="12"/>
      <c r="M777" s="12"/>
    </row>
    <row r="778">
      <c r="J778" s="12"/>
      <c r="K778" s="12"/>
      <c r="L778" s="12"/>
      <c r="M778" s="12"/>
    </row>
    <row r="779">
      <c r="J779" s="12"/>
      <c r="K779" s="12"/>
      <c r="L779" s="12"/>
      <c r="M779" s="12"/>
    </row>
    <row r="780">
      <c r="J780" s="12"/>
      <c r="K780" s="12"/>
      <c r="L780" s="12"/>
      <c r="M780" s="12"/>
    </row>
    <row r="781">
      <c r="J781" s="12"/>
      <c r="K781" s="12"/>
      <c r="L781" s="12"/>
      <c r="M781" s="12"/>
    </row>
    <row r="782">
      <c r="J782" s="12"/>
      <c r="K782" s="12"/>
      <c r="L782" s="12"/>
      <c r="M782" s="12"/>
    </row>
    <row r="783">
      <c r="J783" s="12"/>
      <c r="K783" s="12"/>
      <c r="L783" s="12"/>
      <c r="M783" s="12"/>
    </row>
    <row r="784">
      <c r="J784" s="12"/>
      <c r="K784" s="12"/>
      <c r="L784" s="12"/>
      <c r="M784" s="12"/>
    </row>
    <row r="785">
      <c r="J785" s="12"/>
      <c r="K785" s="12"/>
      <c r="L785" s="12"/>
      <c r="M785" s="12"/>
    </row>
    <row r="786">
      <c r="J786" s="12"/>
      <c r="K786" s="12"/>
      <c r="L786" s="12"/>
      <c r="M786" s="12"/>
    </row>
    <row r="787">
      <c r="J787" s="12"/>
      <c r="K787" s="12"/>
      <c r="L787" s="12"/>
      <c r="M787" s="12"/>
    </row>
    <row r="788">
      <c r="J788" s="12"/>
      <c r="K788" s="12"/>
      <c r="L788" s="12"/>
      <c r="M788" s="12"/>
    </row>
    <row r="789">
      <c r="J789" s="12"/>
      <c r="K789" s="12"/>
      <c r="L789" s="12"/>
      <c r="M789" s="12"/>
    </row>
    <row r="790">
      <c r="J790" s="12"/>
      <c r="K790" s="12"/>
      <c r="L790" s="12"/>
      <c r="M790" s="12"/>
    </row>
    <row r="791">
      <c r="J791" s="12"/>
      <c r="K791" s="12"/>
      <c r="L791" s="12"/>
      <c r="M791" s="12"/>
    </row>
    <row r="792">
      <c r="J792" s="12"/>
      <c r="K792" s="12"/>
      <c r="L792" s="12"/>
      <c r="M792" s="12"/>
    </row>
    <row r="793">
      <c r="J793" s="12"/>
      <c r="K793" s="12"/>
      <c r="L793" s="12"/>
      <c r="M793" s="12"/>
    </row>
    <row r="794">
      <c r="J794" s="12"/>
      <c r="K794" s="12"/>
      <c r="L794" s="12"/>
      <c r="M794" s="12"/>
    </row>
    <row r="795">
      <c r="J795" s="12"/>
      <c r="K795" s="12"/>
      <c r="L795" s="12"/>
      <c r="M795" s="12"/>
    </row>
    <row r="796">
      <c r="J796" s="12"/>
      <c r="K796" s="12"/>
      <c r="L796" s="12"/>
      <c r="M796" s="12"/>
    </row>
    <row r="797">
      <c r="J797" s="12"/>
      <c r="K797" s="12"/>
      <c r="L797" s="12"/>
      <c r="M797" s="12"/>
    </row>
    <row r="798">
      <c r="J798" s="12"/>
      <c r="K798" s="12"/>
      <c r="L798" s="12"/>
      <c r="M798" s="12"/>
    </row>
    <row r="799">
      <c r="J799" s="12"/>
      <c r="K799" s="12"/>
      <c r="L799" s="12"/>
      <c r="M799" s="12"/>
    </row>
    <row r="800">
      <c r="J800" s="12"/>
      <c r="K800" s="12"/>
      <c r="L800" s="12"/>
      <c r="M800" s="12"/>
    </row>
    <row r="801">
      <c r="J801" s="12"/>
      <c r="K801" s="12"/>
      <c r="L801" s="12"/>
      <c r="M801" s="12"/>
    </row>
    <row r="802">
      <c r="J802" s="12"/>
      <c r="K802" s="12"/>
      <c r="L802" s="12"/>
      <c r="M802" s="12"/>
    </row>
    <row r="803">
      <c r="J803" s="12"/>
      <c r="K803" s="12"/>
      <c r="L803" s="12"/>
      <c r="M803" s="12"/>
    </row>
    <row r="804">
      <c r="J804" s="12"/>
      <c r="K804" s="12"/>
      <c r="L804" s="12"/>
      <c r="M804" s="12"/>
    </row>
    <row r="805">
      <c r="J805" s="12"/>
      <c r="K805" s="12"/>
      <c r="L805" s="12"/>
      <c r="M805" s="12"/>
    </row>
    <row r="806">
      <c r="J806" s="12"/>
      <c r="K806" s="12"/>
      <c r="L806" s="12"/>
      <c r="M806" s="12"/>
    </row>
    <row r="807">
      <c r="J807" s="12"/>
      <c r="K807" s="12"/>
      <c r="L807" s="12"/>
      <c r="M807" s="12"/>
    </row>
    <row r="808">
      <c r="J808" s="12"/>
      <c r="K808" s="12"/>
      <c r="L808" s="12"/>
      <c r="M808" s="12"/>
    </row>
    <row r="809">
      <c r="J809" s="12"/>
      <c r="K809" s="12"/>
      <c r="L809" s="12"/>
      <c r="M809" s="12"/>
    </row>
    <row r="810">
      <c r="J810" s="12"/>
      <c r="K810" s="12"/>
      <c r="L810" s="12"/>
      <c r="M810" s="12"/>
    </row>
    <row r="811">
      <c r="J811" s="12"/>
      <c r="K811" s="12"/>
      <c r="L811" s="12"/>
      <c r="M811" s="12"/>
    </row>
    <row r="812">
      <c r="J812" s="12"/>
      <c r="K812" s="12"/>
      <c r="L812" s="12"/>
      <c r="M812" s="12"/>
    </row>
    <row r="813">
      <c r="J813" s="12"/>
      <c r="K813" s="12"/>
      <c r="L813" s="12"/>
      <c r="M813" s="12"/>
    </row>
    <row r="814">
      <c r="J814" s="12"/>
      <c r="K814" s="12"/>
      <c r="L814" s="12"/>
      <c r="M814" s="12"/>
    </row>
    <row r="815">
      <c r="J815" s="12"/>
      <c r="K815" s="12"/>
      <c r="L815" s="12"/>
      <c r="M815" s="12"/>
    </row>
    <row r="816">
      <c r="J816" s="12"/>
      <c r="K816" s="12"/>
      <c r="L816" s="12"/>
      <c r="M816" s="12"/>
    </row>
    <row r="817">
      <c r="J817" s="12"/>
      <c r="K817" s="12"/>
      <c r="L817" s="12"/>
      <c r="M817" s="12"/>
    </row>
    <row r="818">
      <c r="J818" s="12"/>
      <c r="K818" s="12"/>
      <c r="L818" s="12"/>
      <c r="M818" s="12"/>
    </row>
    <row r="819">
      <c r="J819" s="12"/>
      <c r="K819" s="12"/>
      <c r="L819" s="12"/>
      <c r="M819" s="12"/>
    </row>
    <row r="820">
      <c r="J820" s="12"/>
      <c r="K820" s="12"/>
      <c r="L820" s="12"/>
      <c r="M820" s="12"/>
    </row>
    <row r="821">
      <c r="J821" s="12"/>
      <c r="K821" s="12"/>
      <c r="L821" s="12"/>
      <c r="M821" s="12"/>
    </row>
    <row r="822">
      <c r="J822" s="12"/>
      <c r="K822" s="12"/>
      <c r="L822" s="12"/>
      <c r="M822" s="12"/>
    </row>
    <row r="823">
      <c r="J823" s="12"/>
      <c r="K823" s="12"/>
      <c r="L823" s="12"/>
      <c r="M823" s="12"/>
    </row>
    <row r="824">
      <c r="J824" s="12"/>
      <c r="K824" s="12"/>
      <c r="L824" s="12"/>
      <c r="M824" s="12"/>
    </row>
    <row r="825">
      <c r="J825" s="12"/>
      <c r="K825" s="12"/>
      <c r="L825" s="12"/>
      <c r="M825" s="12"/>
    </row>
    <row r="826">
      <c r="J826" s="12"/>
      <c r="K826" s="12"/>
      <c r="L826" s="12"/>
      <c r="M826" s="12"/>
    </row>
    <row r="827">
      <c r="J827" s="12"/>
      <c r="K827" s="12"/>
      <c r="L827" s="12"/>
      <c r="M827" s="12"/>
    </row>
    <row r="828">
      <c r="J828" s="12"/>
      <c r="K828" s="12"/>
      <c r="L828" s="12"/>
      <c r="M828" s="12"/>
    </row>
    <row r="829">
      <c r="J829" s="12"/>
      <c r="K829" s="12"/>
      <c r="L829" s="12"/>
      <c r="M829" s="12"/>
    </row>
    <row r="830">
      <c r="J830" s="12"/>
      <c r="K830" s="12"/>
      <c r="L830" s="12"/>
      <c r="M830" s="12"/>
    </row>
    <row r="831">
      <c r="J831" s="12"/>
      <c r="K831" s="12"/>
      <c r="L831" s="12"/>
      <c r="M831" s="12"/>
    </row>
    <row r="832">
      <c r="J832" s="12"/>
      <c r="K832" s="12"/>
      <c r="L832" s="12"/>
      <c r="M832" s="12"/>
    </row>
    <row r="833">
      <c r="J833" s="12"/>
      <c r="K833" s="12"/>
      <c r="L833" s="12"/>
      <c r="M833" s="12"/>
    </row>
    <row r="834">
      <c r="J834" s="12"/>
      <c r="K834" s="12"/>
      <c r="L834" s="12"/>
      <c r="M834" s="12"/>
    </row>
    <row r="835">
      <c r="J835" s="12"/>
      <c r="K835" s="12"/>
      <c r="L835" s="12"/>
      <c r="M835" s="12"/>
    </row>
    <row r="836">
      <c r="J836" s="12"/>
      <c r="K836" s="12"/>
      <c r="L836" s="12"/>
      <c r="M836" s="12"/>
    </row>
    <row r="837">
      <c r="J837" s="12"/>
      <c r="K837" s="12"/>
      <c r="L837" s="12"/>
      <c r="M837" s="12"/>
    </row>
    <row r="838">
      <c r="J838" s="12"/>
      <c r="K838" s="12"/>
      <c r="L838" s="12"/>
      <c r="M838" s="12"/>
    </row>
    <row r="839">
      <c r="J839" s="12"/>
      <c r="K839" s="12"/>
      <c r="L839" s="12"/>
      <c r="M839" s="12"/>
    </row>
    <row r="840">
      <c r="J840" s="12"/>
      <c r="K840" s="12"/>
      <c r="L840" s="12"/>
      <c r="M840" s="12"/>
    </row>
    <row r="841">
      <c r="J841" s="12"/>
      <c r="K841" s="12"/>
      <c r="L841" s="12"/>
      <c r="M841" s="12"/>
    </row>
    <row r="842">
      <c r="J842" s="12"/>
      <c r="K842" s="12"/>
      <c r="L842" s="12"/>
      <c r="M842" s="12"/>
    </row>
    <row r="843">
      <c r="J843" s="12"/>
      <c r="K843" s="12"/>
      <c r="L843" s="12"/>
      <c r="M843" s="12"/>
    </row>
    <row r="844">
      <c r="J844" s="12"/>
      <c r="K844" s="12"/>
      <c r="L844" s="12"/>
      <c r="M844" s="12"/>
    </row>
    <row r="845">
      <c r="J845" s="12"/>
      <c r="K845" s="12"/>
      <c r="L845" s="12"/>
      <c r="M845" s="12"/>
    </row>
    <row r="846">
      <c r="J846" s="12"/>
      <c r="K846" s="12"/>
      <c r="L846" s="12"/>
      <c r="M846" s="12"/>
    </row>
    <row r="847">
      <c r="J847" s="12"/>
      <c r="K847" s="12"/>
      <c r="L847" s="12"/>
      <c r="M847" s="12"/>
    </row>
    <row r="848">
      <c r="J848" s="12"/>
      <c r="K848" s="12"/>
      <c r="L848" s="12"/>
      <c r="M848" s="12"/>
    </row>
    <row r="849">
      <c r="J849" s="12"/>
      <c r="K849" s="12"/>
      <c r="L849" s="12"/>
      <c r="M849" s="12"/>
    </row>
    <row r="850">
      <c r="J850" s="12"/>
      <c r="K850" s="12"/>
      <c r="L850" s="12"/>
      <c r="M850" s="12"/>
    </row>
    <row r="851">
      <c r="J851" s="12"/>
      <c r="K851" s="12"/>
      <c r="L851" s="12"/>
      <c r="M851" s="12"/>
    </row>
    <row r="852">
      <c r="J852" s="12"/>
      <c r="K852" s="12"/>
      <c r="L852" s="12"/>
      <c r="M852" s="12"/>
    </row>
    <row r="853">
      <c r="J853" s="12"/>
      <c r="K853" s="12"/>
      <c r="L853" s="12"/>
      <c r="M853" s="12"/>
    </row>
    <row r="854">
      <c r="J854" s="12"/>
      <c r="K854" s="12"/>
      <c r="L854" s="12"/>
      <c r="M854" s="12"/>
    </row>
    <row r="855">
      <c r="J855" s="12"/>
      <c r="K855" s="12"/>
      <c r="L855" s="12"/>
      <c r="M855" s="12"/>
    </row>
    <row r="856">
      <c r="J856" s="12"/>
      <c r="K856" s="12"/>
      <c r="L856" s="12"/>
      <c r="M856" s="12"/>
    </row>
    <row r="857">
      <c r="J857" s="12"/>
      <c r="K857" s="12"/>
      <c r="L857" s="12"/>
      <c r="M857" s="12"/>
    </row>
    <row r="858">
      <c r="J858" s="12"/>
      <c r="K858" s="12"/>
      <c r="L858" s="12"/>
      <c r="M858" s="12"/>
    </row>
    <row r="859">
      <c r="J859" s="12"/>
      <c r="K859" s="12"/>
      <c r="L859" s="12"/>
      <c r="M859" s="12"/>
    </row>
    <row r="860">
      <c r="J860" s="12"/>
      <c r="K860" s="12"/>
      <c r="L860" s="12"/>
      <c r="M860" s="12"/>
    </row>
    <row r="861">
      <c r="J861" s="12"/>
      <c r="K861" s="12"/>
      <c r="L861" s="12"/>
      <c r="M861" s="12"/>
    </row>
    <row r="862">
      <c r="J862" s="12"/>
      <c r="K862" s="12"/>
      <c r="L862" s="12"/>
      <c r="M862" s="12"/>
    </row>
    <row r="863">
      <c r="J863" s="12"/>
      <c r="K863" s="12"/>
      <c r="L863" s="12"/>
      <c r="M863" s="12"/>
    </row>
    <row r="864">
      <c r="J864" s="12"/>
      <c r="K864" s="12"/>
      <c r="L864" s="12"/>
      <c r="M864" s="12"/>
    </row>
    <row r="865">
      <c r="J865" s="12"/>
      <c r="K865" s="12"/>
      <c r="L865" s="12"/>
      <c r="M865" s="12"/>
    </row>
    <row r="866">
      <c r="J866" s="12"/>
      <c r="K866" s="12"/>
      <c r="L866" s="12"/>
      <c r="M866" s="12"/>
    </row>
    <row r="867">
      <c r="J867" s="12"/>
      <c r="K867" s="12"/>
      <c r="L867" s="12"/>
      <c r="M867" s="12"/>
    </row>
    <row r="868">
      <c r="J868" s="12"/>
      <c r="K868" s="12"/>
      <c r="L868" s="12"/>
      <c r="M868" s="12"/>
    </row>
    <row r="869">
      <c r="J869" s="12"/>
      <c r="K869" s="12"/>
      <c r="L869" s="12"/>
      <c r="M869" s="12"/>
    </row>
    <row r="870">
      <c r="J870" s="12"/>
      <c r="K870" s="12"/>
      <c r="L870" s="12"/>
      <c r="M870" s="12"/>
    </row>
    <row r="871">
      <c r="J871" s="12"/>
      <c r="K871" s="12"/>
      <c r="L871" s="12"/>
      <c r="M871" s="12"/>
    </row>
    <row r="872">
      <c r="J872" s="12"/>
      <c r="K872" s="12"/>
      <c r="L872" s="12"/>
      <c r="M872" s="12"/>
    </row>
    <row r="873">
      <c r="J873" s="12"/>
      <c r="K873" s="12"/>
      <c r="L873" s="12"/>
      <c r="M873" s="12"/>
    </row>
    <row r="874">
      <c r="J874" s="12"/>
      <c r="K874" s="12"/>
      <c r="L874" s="12"/>
      <c r="M874" s="12"/>
    </row>
    <row r="875">
      <c r="J875" s="12"/>
      <c r="K875" s="12"/>
      <c r="L875" s="12"/>
      <c r="M875" s="12"/>
    </row>
    <row r="876">
      <c r="J876" s="12"/>
      <c r="K876" s="12"/>
      <c r="L876" s="12"/>
      <c r="M876" s="12"/>
    </row>
    <row r="877">
      <c r="J877" s="12"/>
      <c r="K877" s="12"/>
      <c r="L877" s="12"/>
      <c r="M877" s="12"/>
    </row>
    <row r="878">
      <c r="J878" s="12"/>
      <c r="K878" s="12"/>
      <c r="L878" s="12"/>
      <c r="M878" s="12"/>
    </row>
    <row r="879">
      <c r="J879" s="12"/>
      <c r="K879" s="12"/>
      <c r="L879" s="12"/>
      <c r="M879" s="12"/>
    </row>
    <row r="880">
      <c r="J880" s="12"/>
      <c r="K880" s="12"/>
      <c r="L880" s="12"/>
      <c r="M880" s="12"/>
    </row>
    <row r="881">
      <c r="J881" s="12"/>
      <c r="K881" s="12"/>
      <c r="L881" s="12"/>
      <c r="M881" s="12"/>
    </row>
    <row r="882">
      <c r="J882" s="12"/>
      <c r="K882" s="12"/>
      <c r="L882" s="12"/>
      <c r="M882" s="12"/>
    </row>
    <row r="883">
      <c r="J883" s="12"/>
      <c r="K883" s="12"/>
      <c r="L883" s="12"/>
      <c r="M883" s="12"/>
    </row>
    <row r="884">
      <c r="J884" s="12"/>
      <c r="K884" s="12"/>
      <c r="L884" s="12"/>
      <c r="M884" s="12"/>
    </row>
    <row r="885">
      <c r="J885" s="12"/>
      <c r="K885" s="12"/>
      <c r="L885" s="12"/>
      <c r="M885" s="12"/>
    </row>
    <row r="886">
      <c r="J886" s="12"/>
      <c r="K886" s="12"/>
      <c r="L886" s="12"/>
      <c r="M886" s="12"/>
    </row>
    <row r="887">
      <c r="J887" s="12"/>
      <c r="K887" s="12"/>
      <c r="L887" s="12"/>
      <c r="M887" s="12"/>
    </row>
    <row r="888">
      <c r="J888" s="12"/>
      <c r="K888" s="12"/>
      <c r="L888" s="12"/>
      <c r="M888" s="12"/>
    </row>
    <row r="889">
      <c r="J889" s="12"/>
      <c r="K889" s="12"/>
      <c r="L889" s="12"/>
      <c r="M889" s="12"/>
    </row>
    <row r="890">
      <c r="J890" s="12"/>
      <c r="K890" s="12"/>
      <c r="L890" s="12"/>
      <c r="M890" s="12"/>
    </row>
    <row r="891">
      <c r="J891" s="12"/>
      <c r="K891" s="12"/>
      <c r="L891" s="12"/>
      <c r="M891" s="12"/>
    </row>
    <row r="892">
      <c r="J892" s="12"/>
      <c r="K892" s="12"/>
      <c r="L892" s="12"/>
      <c r="M892" s="12"/>
    </row>
    <row r="893">
      <c r="J893" s="12"/>
      <c r="K893" s="12"/>
      <c r="L893" s="12"/>
      <c r="M893" s="12"/>
    </row>
    <row r="894">
      <c r="J894" s="12"/>
      <c r="K894" s="12"/>
      <c r="L894" s="12"/>
      <c r="M894" s="12"/>
    </row>
    <row r="895">
      <c r="J895" s="12"/>
      <c r="K895" s="12"/>
      <c r="L895" s="12"/>
      <c r="M895" s="12"/>
    </row>
    <row r="896">
      <c r="J896" s="12"/>
      <c r="K896" s="12"/>
      <c r="L896" s="12"/>
      <c r="M896" s="12"/>
    </row>
    <row r="897">
      <c r="J897" s="12"/>
      <c r="K897" s="12"/>
      <c r="L897" s="12"/>
      <c r="M897" s="12"/>
    </row>
    <row r="898">
      <c r="J898" s="12"/>
      <c r="K898" s="12"/>
      <c r="L898" s="12"/>
      <c r="M898" s="12"/>
    </row>
    <row r="899">
      <c r="J899" s="12"/>
      <c r="K899" s="12"/>
      <c r="L899" s="12"/>
      <c r="M899" s="12"/>
    </row>
    <row r="900">
      <c r="J900" s="12"/>
      <c r="K900" s="12"/>
      <c r="L900" s="12"/>
      <c r="M900" s="12"/>
    </row>
    <row r="901">
      <c r="J901" s="12"/>
      <c r="K901" s="12"/>
      <c r="L901" s="12"/>
      <c r="M901" s="12"/>
    </row>
    <row r="902">
      <c r="J902" s="12"/>
      <c r="K902" s="12"/>
      <c r="L902" s="12"/>
      <c r="M902" s="12"/>
    </row>
    <row r="903">
      <c r="J903" s="12"/>
      <c r="K903" s="12"/>
      <c r="L903" s="12"/>
      <c r="M903" s="12"/>
    </row>
    <row r="904">
      <c r="J904" s="12"/>
      <c r="K904" s="12"/>
      <c r="L904" s="12"/>
      <c r="M904" s="12"/>
    </row>
    <row r="905">
      <c r="J905" s="12"/>
      <c r="K905" s="12"/>
      <c r="L905" s="12"/>
      <c r="M905" s="12"/>
    </row>
    <row r="906">
      <c r="J906" s="12"/>
      <c r="K906" s="12"/>
      <c r="L906" s="12"/>
      <c r="M906" s="12"/>
    </row>
    <row r="907">
      <c r="J907" s="12"/>
      <c r="K907" s="12"/>
      <c r="L907" s="12"/>
      <c r="M907" s="12"/>
    </row>
    <row r="908">
      <c r="J908" s="12"/>
      <c r="K908" s="12"/>
      <c r="L908" s="12"/>
      <c r="M908" s="12"/>
    </row>
    <row r="909">
      <c r="J909" s="12"/>
      <c r="K909" s="12"/>
      <c r="L909" s="12"/>
      <c r="M909" s="12"/>
    </row>
    <row r="910">
      <c r="J910" s="12"/>
      <c r="K910" s="12"/>
      <c r="L910" s="12"/>
      <c r="M910" s="12"/>
    </row>
    <row r="911">
      <c r="J911" s="12"/>
      <c r="K911" s="12"/>
      <c r="L911" s="12"/>
      <c r="M911" s="12"/>
    </row>
    <row r="912">
      <c r="J912" s="12"/>
      <c r="K912" s="12"/>
      <c r="L912" s="12"/>
      <c r="M912" s="12"/>
    </row>
    <row r="913">
      <c r="J913" s="12"/>
      <c r="K913" s="12"/>
      <c r="L913" s="12"/>
      <c r="M913" s="12"/>
    </row>
    <row r="914">
      <c r="J914" s="12"/>
      <c r="K914" s="12"/>
      <c r="L914" s="12"/>
      <c r="M914" s="12"/>
    </row>
    <row r="915">
      <c r="J915" s="12"/>
      <c r="K915" s="12"/>
      <c r="L915" s="12"/>
      <c r="M915" s="12"/>
    </row>
    <row r="916">
      <c r="J916" s="12"/>
      <c r="K916" s="12"/>
      <c r="L916" s="12"/>
      <c r="M916" s="12"/>
    </row>
    <row r="917">
      <c r="J917" s="12"/>
      <c r="K917" s="12"/>
      <c r="L917" s="12"/>
      <c r="M917" s="12"/>
    </row>
    <row r="918">
      <c r="J918" s="12"/>
      <c r="K918" s="12"/>
      <c r="L918" s="12"/>
      <c r="M918" s="12"/>
    </row>
    <row r="919">
      <c r="J919" s="12"/>
      <c r="K919" s="12"/>
      <c r="L919" s="12"/>
      <c r="M919" s="12"/>
    </row>
    <row r="920">
      <c r="J920" s="12"/>
      <c r="K920" s="12"/>
      <c r="L920" s="12"/>
      <c r="M920" s="12"/>
    </row>
    <row r="921">
      <c r="J921" s="12"/>
      <c r="K921" s="12"/>
      <c r="L921" s="12"/>
      <c r="M921" s="12"/>
    </row>
    <row r="922">
      <c r="J922" s="12"/>
      <c r="K922" s="12"/>
      <c r="L922" s="12"/>
      <c r="M922" s="12"/>
    </row>
    <row r="923">
      <c r="J923" s="12"/>
      <c r="K923" s="12"/>
      <c r="L923" s="12"/>
      <c r="M923" s="12"/>
    </row>
    <row r="924">
      <c r="J924" s="12"/>
      <c r="K924" s="12"/>
      <c r="L924" s="12"/>
      <c r="M924" s="12"/>
    </row>
    <row r="925">
      <c r="J925" s="12"/>
      <c r="K925" s="12"/>
      <c r="L925" s="12"/>
      <c r="M925" s="12"/>
    </row>
    <row r="926">
      <c r="J926" s="12"/>
      <c r="K926" s="12"/>
      <c r="L926" s="12"/>
      <c r="M926" s="12"/>
    </row>
    <row r="927">
      <c r="J927" s="12"/>
      <c r="K927" s="12"/>
      <c r="L927" s="12"/>
      <c r="M927" s="12"/>
    </row>
    <row r="928">
      <c r="J928" s="12"/>
      <c r="K928" s="12"/>
      <c r="L928" s="12"/>
      <c r="M928" s="12"/>
    </row>
    <row r="929">
      <c r="J929" s="12"/>
      <c r="K929" s="12"/>
      <c r="L929" s="12"/>
      <c r="M929" s="12"/>
    </row>
    <row r="930">
      <c r="J930" s="12"/>
      <c r="K930" s="12"/>
      <c r="L930" s="12"/>
      <c r="M930" s="12"/>
    </row>
    <row r="931">
      <c r="J931" s="12"/>
      <c r="K931" s="12"/>
      <c r="L931" s="12"/>
      <c r="M931" s="12"/>
    </row>
    <row r="932">
      <c r="J932" s="12"/>
      <c r="K932" s="12"/>
      <c r="L932" s="12"/>
      <c r="M932" s="12"/>
    </row>
    <row r="933">
      <c r="J933" s="12"/>
      <c r="K933" s="12"/>
      <c r="L933" s="12"/>
      <c r="M933" s="12"/>
    </row>
    <row r="934">
      <c r="J934" s="12"/>
      <c r="K934" s="12"/>
      <c r="L934" s="12"/>
      <c r="M934" s="12"/>
    </row>
    <row r="935">
      <c r="J935" s="12"/>
      <c r="K935" s="12"/>
      <c r="L935" s="12"/>
      <c r="M935" s="12"/>
    </row>
    <row r="936">
      <c r="J936" s="12"/>
      <c r="K936" s="12"/>
      <c r="L936" s="12"/>
      <c r="M936" s="12"/>
    </row>
    <row r="937">
      <c r="J937" s="12"/>
      <c r="K937" s="12"/>
      <c r="L937" s="12"/>
      <c r="M937" s="12"/>
    </row>
    <row r="938">
      <c r="J938" s="12"/>
      <c r="K938" s="12"/>
      <c r="L938" s="12"/>
      <c r="M938" s="12"/>
    </row>
    <row r="939">
      <c r="J939" s="12"/>
      <c r="K939" s="12"/>
      <c r="L939" s="12"/>
      <c r="M939" s="12"/>
    </row>
    <row r="940">
      <c r="J940" s="12"/>
      <c r="K940" s="12"/>
      <c r="L940" s="12"/>
      <c r="M940" s="12"/>
    </row>
    <row r="941">
      <c r="J941" s="12"/>
      <c r="K941" s="12"/>
      <c r="L941" s="12"/>
      <c r="M941" s="12"/>
    </row>
    <row r="942">
      <c r="J942" s="12"/>
      <c r="K942" s="12"/>
      <c r="L942" s="12"/>
      <c r="M942" s="12"/>
    </row>
    <row r="943">
      <c r="J943" s="12"/>
      <c r="K943" s="12"/>
      <c r="L943" s="12"/>
      <c r="M943" s="12"/>
    </row>
    <row r="944">
      <c r="J944" s="12"/>
      <c r="K944" s="12"/>
      <c r="L944" s="12"/>
      <c r="M944" s="12"/>
    </row>
    <row r="945">
      <c r="J945" s="12"/>
      <c r="K945" s="12"/>
      <c r="L945" s="12"/>
      <c r="M945" s="12"/>
    </row>
    <row r="946">
      <c r="J946" s="12"/>
      <c r="K946" s="12"/>
      <c r="L946" s="12"/>
      <c r="M946" s="12"/>
    </row>
    <row r="947">
      <c r="J947" s="12"/>
      <c r="K947" s="12"/>
      <c r="L947" s="12"/>
      <c r="M947" s="12"/>
    </row>
    <row r="948">
      <c r="J948" s="12"/>
      <c r="K948" s="12"/>
      <c r="L948" s="12"/>
      <c r="M948" s="12"/>
    </row>
    <row r="949">
      <c r="J949" s="12"/>
      <c r="K949" s="12"/>
      <c r="L949" s="12"/>
      <c r="M949" s="12"/>
    </row>
    <row r="950">
      <c r="J950" s="12"/>
      <c r="K950" s="12"/>
      <c r="L950" s="12"/>
      <c r="M950" s="12"/>
    </row>
    <row r="951">
      <c r="J951" s="12"/>
      <c r="K951" s="12"/>
      <c r="L951" s="12"/>
      <c r="M951" s="12"/>
    </row>
    <row r="952">
      <c r="J952" s="12"/>
      <c r="K952" s="12"/>
      <c r="L952" s="12"/>
      <c r="M952" s="12"/>
    </row>
    <row r="953">
      <c r="J953" s="12"/>
      <c r="K953" s="12"/>
      <c r="L953" s="12"/>
      <c r="M953" s="12"/>
    </row>
    <row r="954">
      <c r="J954" s="12"/>
      <c r="K954" s="12"/>
      <c r="L954" s="12"/>
      <c r="M954" s="12"/>
    </row>
    <row r="955">
      <c r="J955" s="12"/>
      <c r="K955" s="12"/>
      <c r="L955" s="12"/>
      <c r="M955" s="12"/>
    </row>
    <row r="956">
      <c r="J956" s="12"/>
      <c r="K956" s="12"/>
      <c r="L956" s="12"/>
      <c r="M956" s="12"/>
    </row>
    <row r="957">
      <c r="J957" s="12"/>
      <c r="K957" s="12"/>
      <c r="L957" s="12"/>
      <c r="M957" s="12"/>
    </row>
    <row r="958">
      <c r="J958" s="12"/>
      <c r="K958" s="12"/>
      <c r="L958" s="12"/>
      <c r="M958" s="12"/>
    </row>
    <row r="959">
      <c r="J959" s="12"/>
      <c r="K959" s="12"/>
      <c r="L959" s="12"/>
      <c r="M959" s="12"/>
    </row>
    <row r="960">
      <c r="J960" s="12"/>
      <c r="K960" s="12"/>
      <c r="L960" s="12"/>
      <c r="M960" s="12"/>
    </row>
    <row r="961">
      <c r="J961" s="12"/>
      <c r="K961" s="12"/>
      <c r="L961" s="12"/>
      <c r="M961" s="12"/>
    </row>
    <row r="962">
      <c r="J962" s="12"/>
      <c r="K962" s="12"/>
      <c r="L962" s="12"/>
      <c r="M962" s="12"/>
    </row>
    <row r="963">
      <c r="J963" s="12"/>
      <c r="K963" s="12"/>
      <c r="L963" s="12"/>
      <c r="M963" s="12"/>
    </row>
    <row r="964">
      <c r="J964" s="12"/>
      <c r="K964" s="12"/>
      <c r="L964" s="12"/>
      <c r="M964" s="12"/>
    </row>
    <row r="965">
      <c r="J965" s="12"/>
      <c r="K965" s="12"/>
      <c r="L965" s="12"/>
      <c r="M965" s="12"/>
    </row>
    <row r="966">
      <c r="J966" s="12"/>
      <c r="K966" s="12"/>
      <c r="L966" s="12"/>
      <c r="M966" s="12"/>
    </row>
    <row r="967">
      <c r="J967" s="12"/>
      <c r="K967" s="12"/>
      <c r="L967" s="12"/>
      <c r="M967" s="12"/>
    </row>
    <row r="968">
      <c r="J968" s="12"/>
      <c r="K968" s="12"/>
      <c r="L968" s="12"/>
      <c r="M968" s="12"/>
    </row>
    <row r="969">
      <c r="J969" s="12"/>
      <c r="K969" s="12"/>
      <c r="L969" s="12"/>
      <c r="M969" s="12"/>
    </row>
    <row r="970">
      <c r="J970" s="12"/>
      <c r="K970" s="12"/>
      <c r="L970" s="12"/>
      <c r="M970" s="12"/>
    </row>
    <row r="971">
      <c r="J971" s="12"/>
      <c r="K971" s="12"/>
      <c r="L971" s="12"/>
      <c r="M971" s="12"/>
    </row>
    <row r="972">
      <c r="J972" s="12"/>
      <c r="K972" s="12"/>
      <c r="L972" s="12"/>
      <c r="M972" s="12"/>
    </row>
    <row r="973">
      <c r="J973" s="12"/>
      <c r="K973" s="12"/>
      <c r="L973" s="12"/>
      <c r="M973" s="12"/>
    </row>
    <row r="974">
      <c r="J974" s="12"/>
      <c r="K974" s="12"/>
      <c r="L974" s="12"/>
      <c r="M974" s="12"/>
    </row>
    <row r="975">
      <c r="J975" s="12"/>
      <c r="K975" s="12"/>
      <c r="L975" s="12"/>
      <c r="M975" s="12"/>
    </row>
    <row r="976">
      <c r="J976" s="12"/>
      <c r="K976" s="12"/>
      <c r="L976" s="12"/>
      <c r="M976" s="12"/>
    </row>
    <row r="977">
      <c r="J977" s="12"/>
      <c r="K977" s="12"/>
      <c r="L977" s="12"/>
      <c r="M977" s="12"/>
    </row>
    <row r="978">
      <c r="J978" s="12"/>
      <c r="K978" s="12"/>
      <c r="L978" s="12"/>
      <c r="M978" s="12"/>
    </row>
    <row r="979">
      <c r="J979" s="12"/>
      <c r="K979" s="12"/>
      <c r="L979" s="12"/>
      <c r="M979" s="12"/>
    </row>
    <row r="980">
      <c r="J980" s="12"/>
      <c r="K980" s="12"/>
      <c r="L980" s="12"/>
      <c r="M980" s="12"/>
    </row>
    <row r="981">
      <c r="J981" s="12"/>
      <c r="K981" s="12"/>
      <c r="L981" s="12"/>
      <c r="M981" s="12"/>
    </row>
    <row r="982">
      <c r="J982" s="12"/>
      <c r="K982" s="12"/>
      <c r="L982" s="12"/>
      <c r="M982" s="12"/>
    </row>
    <row r="983">
      <c r="J983" s="12"/>
      <c r="K983" s="12"/>
      <c r="L983" s="12"/>
      <c r="M983" s="12"/>
    </row>
    <row r="984">
      <c r="J984" s="12"/>
      <c r="K984" s="12"/>
      <c r="L984" s="12"/>
      <c r="M984" s="12"/>
    </row>
    <row r="985">
      <c r="J985" s="12"/>
      <c r="K985" s="12"/>
      <c r="L985" s="12"/>
      <c r="M985" s="12"/>
    </row>
    <row r="986">
      <c r="J986" s="12"/>
      <c r="K986" s="12"/>
      <c r="L986" s="12"/>
      <c r="M986" s="12"/>
    </row>
    <row r="987">
      <c r="J987" s="12"/>
      <c r="K987" s="12"/>
      <c r="L987" s="12"/>
      <c r="M987" s="12"/>
    </row>
    <row r="988">
      <c r="J988" s="12"/>
      <c r="K988" s="12"/>
      <c r="L988" s="12"/>
      <c r="M988" s="12"/>
    </row>
    <row r="989">
      <c r="J989" s="12"/>
      <c r="K989" s="12"/>
      <c r="L989" s="12"/>
      <c r="M989" s="12"/>
    </row>
    <row r="990">
      <c r="J990" s="12"/>
      <c r="K990" s="12"/>
      <c r="L990" s="12"/>
      <c r="M990" s="12"/>
    </row>
    <row r="991">
      <c r="J991" s="12"/>
      <c r="K991" s="12"/>
      <c r="L991" s="12"/>
      <c r="M991" s="12"/>
    </row>
    <row r="992">
      <c r="J992" s="12"/>
      <c r="K992" s="12"/>
      <c r="L992" s="12"/>
      <c r="M992" s="12"/>
    </row>
    <row r="993">
      <c r="J993" s="12"/>
      <c r="K993" s="12"/>
      <c r="L993" s="12"/>
      <c r="M993" s="12"/>
    </row>
    <row r="994">
      <c r="J994" s="12"/>
      <c r="K994" s="12"/>
      <c r="L994" s="12"/>
      <c r="M994" s="12"/>
    </row>
    <row r="995">
      <c r="J995" s="12"/>
      <c r="K995" s="12"/>
      <c r="L995" s="12"/>
      <c r="M995" s="12"/>
    </row>
    <row r="996">
      <c r="J996" s="12"/>
      <c r="K996" s="12"/>
      <c r="L996" s="12"/>
      <c r="M996" s="12"/>
    </row>
    <row r="997">
      <c r="J997" s="12"/>
      <c r="K997" s="12"/>
      <c r="L997" s="12"/>
      <c r="M997" s="12"/>
    </row>
    <row r="998">
      <c r="J998" s="12"/>
      <c r="K998" s="12"/>
      <c r="L998" s="12"/>
      <c r="M998" s="12"/>
    </row>
  </sheetData>
  <mergeCells count="17">
    <mergeCell ref="G2:G3"/>
    <mergeCell ref="H2:H3"/>
    <mergeCell ref="I2:I3"/>
    <mergeCell ref="J2:J3"/>
    <mergeCell ref="K2:K3"/>
    <mergeCell ref="L2:L3"/>
    <mergeCell ref="M2:M3"/>
    <mergeCell ref="N2:N3"/>
    <mergeCell ref="P2:R2"/>
    <mergeCell ref="S2:V2"/>
    <mergeCell ref="W2:AB2"/>
    <mergeCell ref="AC2:AF2"/>
    <mergeCell ref="D1:AG1"/>
    <mergeCell ref="D2:D3"/>
    <mergeCell ref="E2:E3"/>
    <mergeCell ref="F2:F3"/>
    <mergeCell ref="AG2:AG3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63"/>
    <col customWidth="1" min="2" max="2" width="17.25"/>
    <col customWidth="1" min="3" max="3" width="13.75"/>
    <col customWidth="1" min="6" max="6" width="14.88"/>
    <col customWidth="1" min="7" max="7" width="15.5"/>
    <col customWidth="1" min="10" max="10" width="14.13"/>
    <col customWidth="1" min="11" max="22" width="12.63"/>
    <col customWidth="1" min="23" max="23" width="17.63"/>
    <col customWidth="1" min="24" max="24" width="17.0"/>
    <col customWidth="1" min="25" max="28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D2" s="2" t="s">
        <v>312</v>
      </c>
      <c r="E2" s="13" t="s">
        <v>5</v>
      </c>
      <c r="F2" s="13" t="s">
        <v>6</v>
      </c>
      <c r="G2" s="14" t="s">
        <v>7</v>
      </c>
      <c r="H2" s="2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15" t="s">
        <v>14</v>
      </c>
      <c r="O2" s="2" t="s">
        <v>15</v>
      </c>
      <c r="S2" s="2" t="s">
        <v>16</v>
      </c>
      <c r="W2" s="2" t="s">
        <v>17</v>
      </c>
      <c r="AC2" s="3" t="s">
        <v>18</v>
      </c>
      <c r="AG2" s="2" t="s">
        <v>19</v>
      </c>
    </row>
    <row r="3" ht="28.5" customHeight="1">
      <c r="O3" s="13">
        <v>2018.0</v>
      </c>
      <c r="P3" s="13">
        <v>2019.0</v>
      </c>
      <c r="Q3" s="13">
        <v>2020.0</v>
      </c>
      <c r="R3" s="13">
        <v>2021.0</v>
      </c>
      <c r="S3" s="13">
        <v>2018.0</v>
      </c>
      <c r="T3" s="13">
        <v>2019.0</v>
      </c>
      <c r="U3" s="13">
        <v>2020.0</v>
      </c>
      <c r="V3" s="13">
        <v>2021.0</v>
      </c>
      <c r="W3" s="5" t="s">
        <v>20</v>
      </c>
      <c r="X3" s="5" t="s">
        <v>21</v>
      </c>
      <c r="Y3" s="5" t="s">
        <v>22</v>
      </c>
      <c r="Z3" s="6" t="s">
        <v>23</v>
      </c>
      <c r="AA3" s="6" t="s">
        <v>24</v>
      </c>
      <c r="AB3" s="6" t="s">
        <v>25</v>
      </c>
      <c r="AC3" s="5" t="s">
        <v>26</v>
      </c>
      <c r="AD3" s="5" t="s">
        <v>27</v>
      </c>
      <c r="AE3" s="5" t="s">
        <v>28</v>
      </c>
      <c r="AF3" s="5" t="s">
        <v>29</v>
      </c>
    </row>
    <row r="4">
      <c r="A4" s="16" t="s">
        <v>30</v>
      </c>
      <c r="B4" s="16" t="s">
        <v>31</v>
      </c>
      <c r="C4" s="16" t="s">
        <v>32</v>
      </c>
      <c r="D4" s="7" t="s">
        <v>33</v>
      </c>
      <c r="E4" s="8">
        <f>IFERROR(__xludf.DUMMYFUNCTION("IF($D4=""Euro"",'Original Data'!E4,
IF($D4=""Dolar"",'Original Data'!E4*GOOGLEFINANCE(""Currency:USDEUR""),
IF($D4=""Franco Suíço"",'Original Data'!E4*GOOGLEFINANCE(""Currency:CHFEUR""),
IF($D4=""Libra Esterlina"", 'Original Data'!E4*GOOGLEFINANCE(""Curre"&amp;"ncy:GBPEUR""),
IF($D4=""Iene"",'Original Data'!E4*GOOGLEFINANCE(""Currency:JPYEUR""),
IF($D4=""HKD"",'Original Data'!E4*GOOGLEFINANCE(""Currency:HKDEUR""),
IF($D4=""KRW"",'Original Data'!E4*GOOGLEFINANCE(""Currency:KRWEUR""),"""")))))))"),14.1)</f>
        <v>14.1</v>
      </c>
      <c r="F4" s="8">
        <f>IFERROR(__xludf.DUMMYFUNCTION("IF($D4=""Euro"",'Original Data'!F4,
IF($D4=""Dolar"",'Original Data'!F4*GOOGLEFINANCE(""Currency:USDEUR""),
IF($D4=""Franco Suíço"",'Original Data'!F4*GOOGLEFINANCE(""Currency:CHFEUR""),
IF($D4=""Libra Esterlina"", 'Original Data'!F4*GOOGLEFINANCE(""Curre"&amp;"ncy:GBPEUR""),
IF($D4=""Iene"",'Original Data'!F4*GOOGLEFINANCE(""Currency:JPYEUR""),
IF($D4=""HKD"",'Original Data'!F4*GOOGLEFINANCE(""Currency:HKDEUR""),
IF($D4=""KRW"",'Original Data'!F4*GOOGLEFINANCE(""Currency:KRWEUR""),"""")))))))"),76.67)</f>
        <v>76.67</v>
      </c>
      <c r="G4" s="8">
        <f>IFERROR(__xludf.DUMMYFUNCTION("IF($D4=""Euro"",'Original Data'!G4,
IF($D4=""Dolar"",'Original Data'!G4*GOOGLEFINANCE(""Currency:USDEUR""),
IF($D4=""Franco Suíço"",'Original Data'!G4*GOOGLEFINANCE(""Currency:CHFEUR""),
IF($D4=""Libra Esterlina"", 'Original Data'!G4*GOOGLEFINANCE(""Curre"&amp;"ncy:GBPEUR""),
IF($D4=""Iene"",'Original Data'!G4*GOOGLEFINANCE(""Currency:JPYEUR""),
IF($D4=""HKD"",'Original Data'!G4*GOOGLEFINANCE(""Currency:HKDEUR""),
IF($D4=""KRW"",'Original Data'!G4*GOOGLEFINANCE(""Currency:KRWEUR""),"""")))))))"),49.57)</f>
        <v>49.57</v>
      </c>
      <c r="H4" s="17">
        <v>2.44</v>
      </c>
      <c r="I4" s="7">
        <v>4.22</v>
      </c>
      <c r="J4" s="9">
        <v>0.0766</v>
      </c>
      <c r="K4" s="9">
        <v>0.0541</v>
      </c>
      <c r="L4" s="9">
        <v>0.035</v>
      </c>
      <c r="M4" s="9">
        <v>0.1255</v>
      </c>
      <c r="N4" s="8">
        <f>IFERROR(__xludf.DUMMYFUNCTION("IF('Original Data'!N4=""-"",""-"",
IF($D4=""Euro"",'Original Data'!N4,
IF($D4=""Dolar"",'Original Data'!N4*GOOGLEFINANCE(""Currency:USDEUR""),
IF($D4=""Franco Suíço"",'Original Data'!N4*GOOGLEFINANCE(""Currency:CHFEUR""),
IF($D4=""Libra Esterlina"", 'Orig"&amp;"inal Data'!N4*GOOGLEFINANCE(""Currency:GBPEUR""),
IF($D4=""Iene"",'Original Data'!N4*GOOGLEFINANCE(""Currency:JPYEUR""),
IF($D4=""HKD"",'Original Data'!N4*GOOGLEFINANCE(""Currency:HKDEUR""),
IF($D4=""KRW"",'Original Data'!N4*GOOGLEFINANCE(""Currency:KRWEU"&amp;"R""),""""))))))))"),18.77)</f>
        <v>18.77</v>
      </c>
      <c r="O4" s="8">
        <f>IFERROR(__xludf.DUMMYFUNCTION("IF('Original Data'!O4=""-"",""-"",
IF($D4=""Euro"",'Original Data'!O4,
IF($D4=""Dolar"",'Original Data'!O4*GOOGLEFINANCE(""Currency:USDEUR""),
IF($D4=""Franco Suíço"",'Original Data'!O4*GOOGLEFINANCE(""Currency:CHFEUR""),
IF($D4=""Libra Esterlina"", 'Orig"&amp;"inal Data'!O4*GOOGLEFINANCE(""Currency:GBPEUR""),
IF($D4=""Iene"",'Original Data'!O4*GOOGLEFINANCE(""Currency:JPYEUR""),
IF($D4=""HKD"",'Original Data'!O4*GOOGLEFINANCE(""Currency:HKDEUR""),
IF($D4=""KRW"",'Original Data'!O4*GOOGLEFINANCE(""Currency:KRWEU"&amp;"R""),""""))))))))"),96.86)</f>
        <v>96.86</v>
      </c>
      <c r="P4" s="8">
        <f>IFERROR(__xludf.DUMMYFUNCTION("IF('Original Data'!P4=""-"",""-"",
IF($D4=""Euro"",'Original Data'!P4,
IF($D4=""Dolar"",'Original Data'!P4*GOOGLEFINANCE(""Currency:USDEUR""),
IF($D4=""Franco Suíço"",'Original Data'!P4*GOOGLEFINANCE(""Currency:CHFEUR""),
IF($D4=""Libra Esterlina"", 'Orig"&amp;"inal Data'!P4*GOOGLEFINANCE(""Currency:GBPEUR""),
IF($D4=""Iene"",'Original Data'!P4*GOOGLEFINANCE(""Currency:JPYEUR""),
IF($D4=""HKD"",'Original Data'!P4*GOOGLEFINANCE(""Currency:HKDEUR""),
IF($D4=""KRW"",'Original Data'!P4*GOOGLEFINANCE(""Currency:KRWEU"&amp;"R""),""""))))))))"),104.21)</f>
        <v>104.21</v>
      </c>
      <c r="Q4" s="8">
        <f>IFERROR(__xludf.DUMMYFUNCTION("IF('Original Data'!Q4=""-"",""-"",
IF($D4=""Euro"",'Original Data'!Q4,
IF($D4=""Dolar"",'Original Data'!Q4*GOOGLEFINANCE(""Currency:USDEUR""),
IF($D4=""Franco Suíço"",'Original Data'!Q4*GOOGLEFINANCE(""Currency:CHFEUR""),
IF($D4=""Libra Esterlina"", 'Orig"&amp;"inal Data'!Q4*GOOGLEFINANCE(""Currency:GBPEUR""),
IF($D4=""Iene"",'Original Data'!Q4*GOOGLEFINANCE(""Currency:JPYEUR""),
IF($D4=""HKD"",'Original Data'!Q4*GOOGLEFINANCE(""Currency:HKDEUR""),
IF($D4=""KRW"",'Original Data'!Q4*GOOGLEFINANCE(""Currency:KRWEU"&amp;"R""),""""))))))))"),98.99)</f>
        <v>98.99</v>
      </c>
      <c r="R4" s="8">
        <f>IFERROR(__xludf.DUMMYFUNCTION("IF('Original Data'!R4=""-"",""-"",
IF($D4=""Euro"",'Original Data'!R4,
IF($D4=""Dolar"",'Original Data'!R4*GOOGLEFINANCE(""Currency:USDEUR""),
IF($D4=""Franco Suíço"",'Original Data'!R4*GOOGLEFINANCE(""Currency:CHFEUR""),
IF($D4=""Libra Esterlina"", 'Orig"&amp;"inal Data'!R4*GOOGLEFINANCE(""Currency:GBPEUR""),
IF($D4=""Iene"",'Original Data'!R4*GOOGLEFINANCE(""Currency:JPYEUR""),
IF($D4=""HKD"",'Original Data'!R4*GOOGLEFINANCE(""Currency:HKDEUR""),
IF($D4=""KRW"",'Original Data'!R4*GOOGLEFINANCE(""Currency:KRWEU"&amp;"R""),""""))))))))"),111.24)</f>
        <v>111.24</v>
      </c>
      <c r="S4" s="8">
        <f>IFERROR(__xludf.DUMMYFUNCTION("IF('Original Data'!S4=""-"",""-"",
IF($D4=""Euro"",'Original Data'!S4,
IF($D4=""Dolar"",'Original Data'!S4*GOOGLEFINANCE(""Currency:USDEUR""),
IF($D4=""Franco Suíço"",'Original Data'!S4*GOOGLEFINANCE(""Currency:CHFEUR""),
IF($D4=""Libra Esterlina"", 'Orig"&amp;"inal Data'!S4*GOOGLEFINANCE(""Currency:GBPEUR""),
IF($D4=""Iene"",'Original Data'!S4*GOOGLEFINANCE(""Currency:JPYEUR""),
IF($D4=""HKD"",'Original Data'!S4*GOOGLEFINANCE(""Currency:HKDEUR""),
IF($D4=""KRW"",'Original Data'!S4*GOOGLEFINANCE(""Currency:KRWEU"&amp;"R""),""""))))))))"),17.4)</f>
        <v>17.4</v>
      </c>
      <c r="T4" s="8">
        <f>IFERROR(__xludf.DUMMYFUNCTION("IF('Original Data'!T4=""-"",""-"",
IF($D4=""Euro"",'Original Data'!T4,
IF($D4=""Dolar"",'Original Data'!T4*GOOGLEFINANCE(""Currency:USDEUR""),
IF($D4=""Franco Suíço"",'Original Data'!T4*GOOGLEFINANCE(""Currency:CHFEUR""),
IF($D4=""Libra Esterlina"", 'Orig"&amp;"inal Data'!T4*GOOGLEFINANCE(""Currency:GBPEUR""),
IF($D4=""Iene"",'Original Data'!T4*GOOGLEFINANCE(""Currency:JPYEUR""),
IF($D4=""HKD"",'Original Data'!T4*GOOGLEFINANCE(""Currency:HKDEUR""),
IF($D4=""KRW"",'Original Data'!T4*GOOGLEFINANCE(""Currency:KRWEU"&amp;"R""),""""))))))))"),17.98)</f>
        <v>17.98</v>
      </c>
      <c r="U4" s="8">
        <f>IFERROR(__xludf.DUMMYFUNCTION("IF('Original Data'!U4=""-"",""-"",
IF($D4=""Euro"",'Original Data'!U4,
IF($D4=""Dolar"",'Original Data'!U4*GOOGLEFINANCE(""Currency:USDEUR""),
IF($D4=""Franco Suíço"",'Original Data'!U4*GOOGLEFINANCE(""Currency:CHFEUR""),
IF($D4=""Libra Esterlina"", 'Orig"&amp;"inal Data'!U4*GOOGLEFINANCE(""Currency:GBPEUR""),
IF($D4=""Iene"",'Original Data'!U4*GOOGLEFINANCE(""Currency:JPYEUR""),
IF($D4=""HKD"",'Original Data'!U4*GOOGLEFINANCE(""Currency:HKDEUR""),
IF($D4=""KRW"",'Original Data'!U4*GOOGLEFINANCE(""Currency:KRWEU"&amp;"R""),""""))))))))"),11.0)</f>
        <v>11</v>
      </c>
      <c r="V4" s="8">
        <f>IFERROR(__xludf.DUMMYFUNCTION("IF('Original Data'!V4=""-"",""-"",
IF($D4=""Euro"",'Original Data'!V4,
IF($D4=""Dolar"",'Original Data'!V4*GOOGLEFINANCE(""Currency:USDEUR""),
IF($D4=""Franco Suíço"",'Original Data'!V4*GOOGLEFINANCE(""Currency:CHFEUR""),
IF($D4=""Libra Esterlina"", 'Orig"&amp;"inal Data'!V4*GOOGLEFINANCE(""Currency:GBPEUR""),
IF($D4=""Iene"",'Original Data'!V4*GOOGLEFINANCE(""Currency:JPYEUR""),
IF($D4=""HKD"",'Original Data'!V4*GOOGLEFINANCE(""Currency:HKDEUR""),
IF($D4=""KRW"",'Original Data'!V4*GOOGLEFINANCE(""Currency:KRWEU"&amp;"R""),""""))))))))"),19.94)</f>
        <v>19.94</v>
      </c>
      <c r="W4" s="7" t="s">
        <v>34</v>
      </c>
      <c r="X4" s="7" t="s">
        <v>35</v>
      </c>
      <c r="Y4" s="7" t="s">
        <v>36</v>
      </c>
      <c r="Z4" s="7" t="s">
        <v>36</v>
      </c>
      <c r="AA4" s="7" t="s">
        <v>36</v>
      </c>
      <c r="AB4" s="7" t="s">
        <v>36</v>
      </c>
      <c r="AC4" s="7">
        <v>24.0</v>
      </c>
      <c r="AD4" s="7">
        <v>7.2</v>
      </c>
      <c r="AE4" s="7">
        <v>7.5</v>
      </c>
      <c r="AF4" s="7">
        <v>9.2</v>
      </c>
      <c r="AG4" s="7">
        <v>3.0</v>
      </c>
    </row>
    <row r="5">
      <c r="A5" s="16" t="s">
        <v>37</v>
      </c>
      <c r="B5" s="16" t="s">
        <v>38</v>
      </c>
      <c r="C5" s="16" t="s">
        <v>39</v>
      </c>
      <c r="D5" s="7" t="s">
        <v>40</v>
      </c>
      <c r="E5" s="8">
        <f>IFERROR(__xludf.DUMMYFUNCTION("IF($D5=""Euro"",'Original Data'!E5,
IF($D5=""Dolar"",'Original Data'!E5*GOOGLEFINANCE(""Currency:USDEUR""),
IF($D5=""Franco Suíço"",'Original Data'!E5*GOOGLEFINANCE(""Currency:CHFEUR""),
IF($D5=""Libra Esterlina"", 'Original Data'!E5*GOOGLEFINANCE(""Curre"&amp;"ncy:GBPEUR""),
IF($D5=""Iene"",'Original Data'!E5*GOOGLEFINANCE(""Currency:JPYEUR""),
IF($D5=""HKD"",'Original Data'!E5*GOOGLEFINANCE(""Currency:HKDEUR""),
IF($D5=""KRW"",'Original Data'!E5*GOOGLEFINANCE(""Currency:KRWEUR""),"""")))))))"),1.09361)</f>
        <v>1.09361</v>
      </c>
      <c r="F5" s="8">
        <f>IFERROR(__xludf.DUMMYFUNCTION("IF($D5=""Euro"",'Original Data'!F5,
IF($D5=""Dolar"",'Original Data'!F5*GOOGLEFINANCE(""Currency:USDEUR""),
IF($D5=""Franco Suíço"",'Original Data'!F5*GOOGLEFINANCE(""Currency:CHFEUR""),
IF($D5=""Libra Esterlina"", 'Original Data'!F5*GOOGLEFINANCE(""Curre"&amp;"ncy:GBPEUR""),
IF($D5=""Iene"",'Original Data'!F5*GOOGLEFINANCE(""Currency:JPYEUR""),
IF($D5=""HKD"",'Original Data'!F5*GOOGLEFINANCE(""Currency:HKDEUR""),
IF($D5=""KRW"",'Original Data'!F5*GOOGLEFINANCE(""Currency:KRWEUR""),"""")))))))"),127.39178)</f>
        <v>127.39178</v>
      </c>
      <c r="G5" s="8">
        <f>IFERROR(__xludf.DUMMYFUNCTION("IF($D5=""Euro"",'Original Data'!G5,
IF($D5=""Dolar"",'Original Data'!G5*GOOGLEFINANCE(""Currency:USDEUR""),
IF($D5=""Franco Suíço"",'Original Data'!G5*GOOGLEFINANCE(""Currency:CHFEUR""),
IF($D5=""Libra Esterlina"", 'Original Data'!G5*GOOGLEFINANCE(""Curre"&amp;"ncy:GBPEUR""),
IF($D5=""Iene"",'Original Data'!G5*GOOGLEFINANCE(""Currency:JPYEUR""),
IF($D5=""HKD"",'Original Data'!G5*GOOGLEFINANCE(""Currency:HKDEUR""),
IF($D5=""KRW"",'Original Data'!G5*GOOGLEFINANCE(""Currency:KRWEUR""),"""")))))))"),234.42771)</f>
        <v>234.42771</v>
      </c>
      <c r="H5" s="17">
        <v>12.41</v>
      </c>
      <c r="I5" s="7">
        <v>83.15</v>
      </c>
      <c r="J5" s="7" t="s">
        <v>41</v>
      </c>
      <c r="K5" s="9">
        <v>0.0554</v>
      </c>
      <c r="L5" s="9">
        <v>0.043</v>
      </c>
      <c r="M5" s="9">
        <v>0.0897</v>
      </c>
      <c r="N5" s="8">
        <f>IFERROR(__xludf.DUMMYFUNCTION("IF('Original Data'!N5=""-"",""-"",
IF($D5=""Euro"",'Original Data'!N5,
IF($D5=""Dolar"",'Original Data'!N5*GOOGLEFINANCE(""Currency:USDEUR""),
IF($D5=""Franco Suíço"",'Original Data'!N5*GOOGLEFINANCE(""Currency:CHFEUR""),
IF($D5=""Libra Esterlina"", 'Orig"&amp;"inal Data'!N5*GOOGLEFINANCE(""Currency:GBPEUR""),
IF($D5=""Iene"",'Original Data'!N5*GOOGLEFINANCE(""Currency:JPYEUR""),
IF($D5=""HKD"",'Original Data'!N5*GOOGLEFINANCE(""Currency:HKDEUR""),
IF($D5=""KRW"",'Original Data'!N5*GOOGLEFINANCE(""Currency:KRWEU"&amp;"R""),""""))))))))"),1.02009)</f>
        <v>1.02009</v>
      </c>
      <c r="O5" s="8">
        <f>IFERROR(__xludf.DUMMYFUNCTION("IF('Original Data'!O5=""-"",""-"",
IF($D5=""Euro"",'Original Data'!O5,
IF($D5=""Dolar"",'Original Data'!O5*GOOGLEFINANCE(""Currency:USDEUR""),
IF($D5=""Franco Suíço"",'Original Data'!O5*GOOGLEFINANCE(""Currency:CHFEUR""),
IF($D5=""Libra Esterlina"", 'Orig"&amp;"inal Data'!O5*GOOGLEFINANCE(""Currency:GBPEUR""),
IF($D5=""Iene"",'Original Data'!O5*GOOGLEFINANCE(""Currency:JPYEUR""),
IF($D5=""HKD"",'Original Data'!O5*GOOGLEFINANCE(""Currency:HKDEUR""),
IF($D5=""KRW"",'Original Data'!O5*GOOGLEFINANCE(""Currency:KRWEU"&amp;"R""),""""))))))))"),54.65293)</f>
        <v>54.65293</v>
      </c>
      <c r="P5" s="8">
        <f>IFERROR(__xludf.DUMMYFUNCTION("IF('Original Data'!P5=""-"",""-"",
IF($D5=""Euro"",'Original Data'!P5,
IF($D5=""Dolar"",'Original Data'!P5*GOOGLEFINANCE(""Currency:USDEUR""),
IF($D5=""Franco Suíço"",'Original Data'!P5*GOOGLEFINANCE(""Currency:CHFEUR""),
IF($D5=""Libra Esterlina"", 'Orig"&amp;"inal Data'!P5*GOOGLEFINANCE(""Currency:GBPEUR""),
IF($D5=""Iene"",'Original Data'!P5*GOOGLEFINANCE(""Currency:JPYEUR""),
IF($D5=""HKD"",'Original Data'!P5*GOOGLEFINANCE(""Currency:HKDEUR""),
IF($D5=""KRW"",'Original Data'!P5*GOOGLEFINANCE(""Currency:KRWEU"&amp;"R""),""""))))))))"),63.79698)</f>
        <v>63.79698</v>
      </c>
      <c r="Q5" s="8">
        <f>IFERROR(__xludf.DUMMYFUNCTION("IF('Original Data'!Q5=""-"",""-"",
IF($D5=""Euro"",'Original Data'!Q5,
IF($D5=""Dolar"",'Original Data'!Q5*GOOGLEFINANCE(""Currency:USDEUR""),
IF($D5=""Franco Suíço"",'Original Data'!Q5*GOOGLEFINANCE(""Currency:CHFEUR""),
IF($D5=""Libra Esterlina"", 'Orig"&amp;"inal Data'!Q5*GOOGLEFINANCE(""Currency:GBPEUR""),
IF($D5=""Iene"",'Original Data'!Q5*GOOGLEFINANCE(""Currency:JPYEUR""),
IF($D5=""HKD"",'Original Data'!Q5*GOOGLEFINANCE(""Currency:HKDEUR""),
IF($D5=""KRW"",'Original Data'!Q5*GOOGLEFINANCE(""Currency:KRWEU"&amp;"R""),""""))))))))"),59.85446999999999)</f>
        <v>59.85447</v>
      </c>
      <c r="R5" s="8">
        <f>IFERROR(__xludf.DUMMYFUNCTION("IF('Original Data'!R5=""-"",""-"",
IF($D5=""Euro"",'Original Data'!R5,
IF($D5=""Dolar"",'Original Data'!R5*GOOGLEFINANCE(""Currency:USDEUR""),
IF($D5=""Franco Suíço"",'Original Data'!R5*GOOGLEFINANCE(""Currency:CHFEUR""),
IF($D5=""Libra Esterlina"", 'Orig"&amp;"inal Data'!R5*GOOGLEFINANCE(""Currency:GBPEUR""),
IF($D5=""Iene"",'Original Data'!R5*GOOGLEFINANCE(""Currency:JPYEUR""),
IF($D5=""HKD"",'Original Data'!R5*GOOGLEFINANCE(""Currency:HKDEUR""),
IF($D5=""KRW"",'Original Data'!R5*GOOGLEFINANCE(""Currency:KRWEU"&amp;"R""),""""))))))))"),61.93140999999999)</f>
        <v>61.93141</v>
      </c>
      <c r="S5" s="8">
        <f>IFERROR(__xludf.DUMMYFUNCTION("IF('Original Data'!S5=""-"",""-"",
IF($D5=""Euro"",'Original Data'!S5,
IF($D5=""Dolar"",'Original Data'!S5*GOOGLEFINANCE(""Currency:USDEUR""),
IF($D5=""Franco Suíço"",'Original Data'!S5*GOOGLEFINANCE(""Currency:CHFEUR""),
IF($D5=""Libra Esterlina"", 'Orig"&amp;"inal Data'!S5*GOOGLEFINANCE(""Currency:GBPEUR""),
IF($D5=""Iene"",'Original Data'!S5*GOOGLEFINANCE(""Currency:JPYEUR""),
IF($D5=""HKD"",'Original Data'!S5*GOOGLEFINANCE(""Currency:HKDEUR""),
IF($D5=""KRW"",'Original Data'!S5*GOOGLEFINANCE(""Currency:KRWEU"&amp;"R""),""""))))))))"),16.47767)</f>
        <v>16.47767</v>
      </c>
      <c r="T5" s="8">
        <f>IFERROR(__xludf.DUMMYFUNCTION("IF('Original Data'!T5=""-"",""-"",
IF($D5=""Euro"",'Original Data'!T5,
IF($D5=""Dolar"",'Original Data'!T5*GOOGLEFINANCE(""Currency:USDEUR""),
IF($D5=""Franco Suíço"",'Original Data'!T5*GOOGLEFINANCE(""Currency:CHFEUR""),
IF($D5=""Libra Esterlina"", 'Orig"&amp;"inal Data'!T5*GOOGLEFINANCE(""Currency:GBPEUR""),
IF($D5=""Iene"",'Original Data'!T5*GOOGLEFINANCE(""Currency:JPYEUR""),
IF($D5=""HKD"",'Original Data'!T5*GOOGLEFINANCE(""Currency:HKDEUR""),
IF($D5=""KRW"",'Original Data'!T5*GOOGLEFINANCE(""Currency:KRWEU"&amp;"R""),""""))))))))"),14.59372)</f>
        <v>14.59372</v>
      </c>
      <c r="U5" s="8">
        <f>IFERROR(__xludf.DUMMYFUNCTION("IF('Original Data'!U5=""-"",""-"",
IF($D5=""Euro"",'Original Data'!U5,
IF($D5=""Dolar"",'Original Data'!U5*GOOGLEFINANCE(""Currency:USDEUR""),
IF($D5=""Franco Suíço"",'Original Data'!U5*GOOGLEFINANCE(""Currency:CHFEUR""),
IF($D5=""Libra Esterlina"", 'Orig"&amp;"inal Data'!U5*GOOGLEFINANCE(""Currency:GBPEUR""),
IF($D5=""Iene"",'Original Data'!U5*GOOGLEFINANCE(""Currency:JPYEUR""),
IF($D5=""HKD"",'Original Data'!U5*GOOGLEFINANCE(""Currency:HKDEUR""),
IF($D5=""KRW"",'Original Data'!U5*GOOGLEFINANCE(""Currency:KRWEU"&amp;"R""),""""))))))))"),8.197479999999999)</f>
        <v>8.19748</v>
      </c>
      <c r="V5" s="8">
        <f>IFERROR(__xludf.DUMMYFUNCTION("IF('Original Data'!V5=""-"",""-"",
IF($D5=""Euro"",'Original Data'!V5,
IF($D5=""Dolar"",'Original Data'!V5*GOOGLEFINANCE(""Currency:USDEUR""),
IF($D5=""Franco Suíço"",'Original Data'!V5*GOOGLEFINANCE(""Currency:CHFEUR""),
IF($D5=""Libra Esterlina"", 'Orig"&amp;"inal Data'!V5*GOOGLEFINANCE(""Currency:GBPEUR""),
IF($D5=""Iene"",'Original Data'!V5*GOOGLEFINANCE(""Currency:JPYEUR""),
IF($D5=""HKD"",'Original Data'!V5*GOOGLEFINANCE(""Currency:HKDEUR""),
IF($D5=""KRW"",'Original Data'!V5*GOOGLEFINANCE(""Currency:KRWEU"&amp;"R""),""""))))))))"),8.133149999999999)</f>
        <v>8.13315</v>
      </c>
      <c r="W5" s="7" t="s">
        <v>42</v>
      </c>
      <c r="X5" s="7" t="s">
        <v>43</v>
      </c>
      <c r="Y5" s="7" t="s">
        <v>44</v>
      </c>
      <c r="Z5" s="7" t="s">
        <v>44</v>
      </c>
      <c r="AA5" s="7" t="s">
        <v>41</v>
      </c>
      <c r="AB5" s="7" t="s">
        <v>41</v>
      </c>
      <c r="AC5" s="7">
        <v>14.0</v>
      </c>
      <c r="AD5" s="7">
        <v>0.1</v>
      </c>
      <c r="AE5" s="7">
        <v>7.1</v>
      </c>
      <c r="AF5" s="7">
        <v>7.2</v>
      </c>
      <c r="AG5" s="7">
        <v>2.0</v>
      </c>
    </row>
    <row r="6">
      <c r="A6" s="16" t="s">
        <v>45</v>
      </c>
      <c r="B6" s="16" t="s">
        <v>46</v>
      </c>
      <c r="C6" s="16" t="s">
        <v>47</v>
      </c>
      <c r="D6" s="7" t="s">
        <v>40</v>
      </c>
      <c r="E6" s="8">
        <f>IFERROR(__xludf.DUMMYFUNCTION("IF($D6=""Euro"",'Original Data'!E6,
IF($D6=""Dolar"",'Original Data'!E6*GOOGLEFINANCE(""Currency:USDEUR""),
IF($D6=""Franco Suíço"",'Original Data'!E6*GOOGLEFINANCE(""Currency:CHFEUR""),
IF($D6=""Libra Esterlina"", 'Original Data'!E6*GOOGLEFINANCE(""Curre"&amp;"ncy:GBPEUR""),
IF($D6=""Iene"",'Original Data'!E6*GOOGLEFINANCE(""Currency:JPYEUR""),
IF($D6=""HKD"",'Original Data'!E6*GOOGLEFINANCE(""Currency:HKDEUR""),
IF($D6=""KRW"",'Original Data'!E6*GOOGLEFINANCE(""Currency:KRWEUR""),"""")))))))"),16.82689)</f>
        <v>16.82689</v>
      </c>
      <c r="F6" s="8">
        <f>IFERROR(__xludf.DUMMYFUNCTION("IF($D6=""Euro"",'Original Data'!F6,
IF($D6=""Dolar"",'Original Data'!F6*GOOGLEFINANCE(""Currency:USDEUR""),
IF($D6=""Franco Suíço"",'Original Data'!F6*GOOGLEFINANCE(""Currency:CHFEUR""),
IF($D6=""Libra Esterlina"", 'Original Data'!F6*GOOGLEFINANCE(""Curre"&amp;"ncy:GBPEUR""),
IF($D6=""Iene"",'Original Data'!F6*GOOGLEFINANCE(""Currency:JPYEUR""),
IF($D6=""HKD"",'Original Data'!F6*GOOGLEFINANCE(""Currency:HKDEUR""),
IF($D6=""KRW"",'Original Data'!F6*GOOGLEFINANCE(""Currency:KRWEUR""),"""")))))))"),298.27063999999996)</f>
        <v>298.27064</v>
      </c>
      <c r="G6" s="8">
        <f>IFERROR(__xludf.DUMMYFUNCTION("IF($D6=""Euro"",'Original Data'!G6,
IF($D6=""Dolar"",'Original Data'!G6*GOOGLEFINANCE(""Currency:USDEUR""),
IF($D6=""Franco Suíço"",'Original Data'!G6*GOOGLEFINANCE(""Currency:CHFEUR""),
IF($D6=""Libra Esterlina"", 'Original Data'!G6*GOOGLEFINANCE(""Curre"&amp;"ncy:GBPEUR""),
IF($D6=""Iene"",'Original Data'!G6*GOOGLEFINANCE(""Currency:JPYEUR""),
IF($D6=""HKD"",'Original Data'!G6*GOOGLEFINANCE(""Currency:HKDEUR""),
IF($D6=""KRW"",'Original Data'!G6*GOOGLEFINANCE(""Currency:KRWEUR""),"""")))))))"),197.54824)</f>
        <v>197.54824</v>
      </c>
      <c r="H6" s="17">
        <v>2.86</v>
      </c>
      <c r="I6" s="7">
        <v>33.0</v>
      </c>
      <c r="J6" s="9">
        <v>0.0118</v>
      </c>
      <c r="K6" s="9">
        <v>0.2756</v>
      </c>
      <c r="L6" s="9">
        <v>0.1648</v>
      </c>
      <c r="M6" s="9">
        <v>0.3653</v>
      </c>
      <c r="N6" s="8">
        <f>IFERROR(__xludf.DUMMYFUNCTION("IF('Original Data'!N6=""-"",""-"",
IF($D6=""Euro"",'Original Data'!N6,
IF($D6=""Dolar"",'Original Data'!N6*GOOGLEFINANCE(""Currency:USDEUR""),
IF($D6=""Franco Suíço"",'Original Data'!N6*GOOGLEFINANCE(""Currency:CHFEUR""),
IF($D6=""Libra Esterlina"", 'Orig"&amp;"inal Data'!N6*GOOGLEFINANCE(""Currency:GBPEUR""),
IF($D6=""Iene"",'Original Data'!N6*GOOGLEFINANCE(""Currency:JPYEUR""),
IF($D6=""HKD"",'Original Data'!N6*GOOGLEFINANCE(""Currency:HKDEUR""),
IF($D6=""KRW"",'Original Data'!N6*GOOGLEFINANCE(""Currency:KRWEU"&amp;"R""),""""))))))))"),9.11648)</f>
        <v>9.11648</v>
      </c>
      <c r="O6" s="8">
        <f>IFERROR(__xludf.DUMMYFUNCTION("IF('Original Data'!O6=""-"",""-"",
IF($D6=""Euro"",'Original Data'!O6,
IF($D6=""Dolar"",'Original Data'!O6*GOOGLEFINANCE(""Currency:USDEUR""),
IF($D6=""Franco Suíço"",'Original Data'!O6*GOOGLEFINANCE(""Currency:CHFEUR""),
IF($D6=""Libra Esterlina"", 'Orig"&amp;"inal Data'!O6*GOOGLEFINANCE(""Currency:GBPEUR""),
IF($D6=""Iene"",'Original Data'!O6*GOOGLEFINANCE(""Currency:JPYEUR""),
IF($D6=""HKD"",'Original Data'!O6*GOOGLEFINANCE(""Currency:HKDEUR""),
IF($D6=""KRW"",'Original Data'!O6*GOOGLEFINANCE(""Currency:KRWEU"&amp;"R""),""""))))))))"),37.66981)</f>
        <v>37.66981</v>
      </c>
      <c r="P6" s="8">
        <f>IFERROR(__xludf.DUMMYFUNCTION("IF('Original Data'!P6=""-"",""-"",
IF($D6=""Euro"",'Original Data'!P6,
IF($D6=""Dolar"",'Original Data'!P6*GOOGLEFINANCE(""Currency:USDEUR""),
IF($D6=""Franco Suíço"",'Original Data'!P6*GOOGLEFINANCE(""Currency:CHFEUR""),
IF($D6=""Libra Esterlina"", 'Orig"&amp;"inal Data'!P6*GOOGLEFINANCE(""Currency:GBPEUR""),
IF($D6=""Iene"",'Original Data'!P6*GOOGLEFINANCE(""Currency:JPYEUR""),
IF($D6=""HKD"",'Original Data'!P6*GOOGLEFINANCE(""Currency:HKDEUR""),
IF($D6=""KRW"",'Original Data'!P6*GOOGLEFINANCE(""Currency:KRWEU"&amp;"R""),""""))))))))"),39.719179999999994)</f>
        <v>39.71918</v>
      </c>
      <c r="Q6" s="8">
        <f>IFERROR(__xludf.DUMMYFUNCTION("IF('Original Data'!Q6=""-"",""-"",
IF($D6=""Euro"",'Original Data'!Q6,
IF($D6=""Dolar"",'Original Data'!Q6*GOOGLEFINANCE(""Currency:USDEUR""),
IF($D6=""Franco Suíço"",'Original Data'!Q6*GOOGLEFINANCE(""Currency:CHFEUR""),
IF($D6=""Libra Esterlina"", 'Orig"&amp;"inal Data'!Q6*GOOGLEFINANCE(""Currency:GBPEUR""),
IF($D6=""Iene"",'Original Data'!Q6*GOOGLEFINANCE(""Currency:JPYEUR""),
IF($D6=""HKD"",'Original Data'!Q6*GOOGLEFINANCE(""Currency:HKDEUR""),
IF($D6=""KRW"",'Original Data'!Q6*GOOGLEFINANCE(""Currency:KRWEU"&amp;"R""),""""))))))))"),40.73927)</f>
        <v>40.73927</v>
      </c>
      <c r="R6" s="8">
        <f>IFERROR(__xludf.DUMMYFUNCTION("IF('Original Data'!R6=""-"",""-"",
IF($D6=""Euro"",'Original Data'!R6,
IF($D6=""Dolar"",'Original Data'!R6*GOOGLEFINANCE(""Currency:USDEUR""),
IF($D6=""Franco Suíço"",'Original Data'!R6*GOOGLEFINANCE(""Currency:CHFEUR""),
IF($D6=""Libra Esterlina"", 'Orig"&amp;"inal Data'!R6*GOOGLEFINANCE(""Currency:GBPEUR""),
IF($D6=""Iene"",'Original Data'!R6*GOOGLEFINANCE(""Currency:JPYEUR""),
IF($D6=""HKD"",'Original Data'!R6*GOOGLEFINANCE(""Currency:HKDEUR""),
IF($D6=""KRW"",'Original Data'!R6*GOOGLEFINANCE(""Currency:KRWEU"&amp;"R""),""""))))))))"),46.43707)</f>
        <v>46.43707</v>
      </c>
      <c r="S6" s="8">
        <f>IFERROR(__xludf.DUMMYFUNCTION("IF('Original Data'!S6=""-"",""-"",
IF($D6=""Euro"",'Original Data'!S6,
IF($D6=""Dolar"",'Original Data'!S6*GOOGLEFINANCE(""Currency:USDEUR""),
IF($D6=""Franco Suíço"",'Original Data'!S6*GOOGLEFINANCE(""Currency:CHFEUR""),
IF($D6=""Libra Esterlina"", 'Orig"&amp;"inal Data'!S6*GOOGLEFINANCE(""Currency:GBPEUR""),
IF($D6=""Iene"",'Original Data'!S6*GOOGLEFINANCE(""Currency:JPYEUR""),
IF($D6=""HKD"",'Original Data'!S6*GOOGLEFINANCE(""Currency:HKDEUR""),
IF($D6=""KRW"",'Original Data'!S6*GOOGLEFINANCE(""Currency:KRWEU"&amp;"R""),""""))))))))"),6.35948)</f>
        <v>6.35948</v>
      </c>
      <c r="T6" s="8">
        <f>IFERROR(__xludf.DUMMYFUNCTION("IF('Original Data'!T6=""-"",""-"",
IF($D6=""Euro"",'Original Data'!T6,
IF($D6=""Dolar"",'Original Data'!T6*GOOGLEFINANCE(""Currency:USDEUR""),
IF($D6=""Franco Suíço"",'Original Data'!T6*GOOGLEFINANCE(""Currency:CHFEUR""),
IF($D6=""Libra Esterlina"", 'Orig"&amp;"inal Data'!T6*GOOGLEFINANCE(""Currency:GBPEUR""),
IF($D6=""Iene"",'Original Data'!T6*GOOGLEFINANCE(""Currency:JPYEUR""),
IF($D6=""HKD"",'Original Data'!T6*GOOGLEFINANCE(""Currency:HKDEUR""),
IF($D6=""KRW"",'Original Data'!T6*GOOGLEFINANCE(""Currency:KRWEU"&amp;"R""),""""))))))))"),6.662749999999999)</f>
        <v>6.66275</v>
      </c>
      <c r="U6" s="8">
        <f>IFERROR(__xludf.DUMMYFUNCTION("IF('Original Data'!U6=""-"",""-"",
IF($D6=""Euro"",'Original Data'!U6,
IF($D6=""Dolar"",'Original Data'!U6*GOOGLEFINANCE(""Currency:USDEUR""),
IF($D6=""Franco Suíço"",'Original Data'!U6*GOOGLEFINANCE(""Currency:CHFEUR""),
IF($D6=""Libra Esterlina"", 'Orig"&amp;"inal Data'!U6*GOOGLEFINANCE(""Currency:GBPEUR""),
IF($D6=""Iene"",'Original Data'!U6*GOOGLEFINANCE(""Currency:JPYEUR""),
IF($D6=""HKD"",'Original Data'!U6*GOOGLEFINANCE(""Currency:HKDEUR""),
IF($D6=""KRW"",'Original Data'!U6*GOOGLEFINANCE(""Currency:KRWEU"&amp;"R""),""""))))))))"),7.664459999999999)</f>
        <v>7.66446</v>
      </c>
      <c r="V6" s="8">
        <f>IFERROR(__xludf.DUMMYFUNCTION("IF('Original Data'!V6=""-"",""-"",
IF($D6=""Euro"",'Original Data'!V6,
IF($D6=""Dolar"",'Original Data'!V6*GOOGLEFINANCE(""Currency:USDEUR""),
IF($D6=""Franco Suíço"",'Original Data'!V6*GOOGLEFINANCE(""Currency:CHFEUR""),
IF($D6=""Libra Esterlina"", 'Orig"&amp;"inal Data'!V6*GOOGLEFINANCE(""Currency:GBPEUR""),
IF($D6=""Iene"",'Original Data'!V6*GOOGLEFINANCE(""Currency:JPYEUR""),
IF($D6=""HKD"",'Original Data'!V6*GOOGLEFINANCE(""Currency:HKDEUR""),
IF($D6=""KRW"",'Original Data'!V6*GOOGLEFINANCE(""Currency:KRWEU"&amp;"R""),""""))))))))"),8.840779999999999)</f>
        <v>8.84078</v>
      </c>
      <c r="W6" s="7" t="s">
        <v>34</v>
      </c>
      <c r="X6" s="7" t="s">
        <v>35</v>
      </c>
      <c r="Y6" s="7" t="s">
        <v>41</v>
      </c>
      <c r="Z6" s="7" t="s">
        <v>41</v>
      </c>
      <c r="AA6" s="7" t="s">
        <v>41</v>
      </c>
      <c r="AB6" s="7" t="s">
        <v>41</v>
      </c>
      <c r="AC6" s="7">
        <v>9.0</v>
      </c>
      <c r="AD6" s="7">
        <v>0.3</v>
      </c>
      <c r="AE6" s="7">
        <v>4.3</v>
      </c>
      <c r="AF6" s="7">
        <v>4.8</v>
      </c>
      <c r="AG6" s="7">
        <v>2.0</v>
      </c>
    </row>
    <row r="7">
      <c r="A7" s="16" t="s">
        <v>48</v>
      </c>
      <c r="B7" s="16" t="s">
        <v>49</v>
      </c>
      <c r="C7" s="16" t="s">
        <v>50</v>
      </c>
      <c r="D7" s="7" t="s">
        <v>40</v>
      </c>
      <c r="E7" s="8">
        <f>IFERROR(__xludf.DUMMYFUNCTION("IF($D7=""Euro"",'Original Data'!E7,
IF($D7=""Dolar"",'Original Data'!E7*GOOGLEFINANCE(""Currency:USDEUR""),
IF($D7=""Franco Suíço"",'Original Data'!E7*GOOGLEFINANCE(""Currency:CHFEUR""),
IF($D7=""Libra Esterlina"", 'Original Data'!E7*GOOGLEFINANCE(""Curre"&amp;"ncy:GBPEUR""),
IF($D7=""Iene"",'Original Data'!E7*GOOGLEFINANCE(""Currency:JPYEUR""),
IF($D7=""HKD"",'Original Data'!E7*GOOGLEFINANCE(""Currency:HKDEUR""),
IF($D7=""KRW"",'Original Data'!E7*GOOGLEFINANCE(""Currency:KRWEUR""),"""")))))))"),0.74439)</f>
        <v>0.74439</v>
      </c>
      <c r="F7" s="8">
        <f>IFERROR(__xludf.DUMMYFUNCTION("IF($D7=""Euro"",'Original Data'!F7,
IF($D7=""Dolar"",'Original Data'!F7*GOOGLEFINANCE(""Currency:USDEUR""),
IF($D7=""Franco Suíço"",'Original Data'!F7*GOOGLEFINANCE(""Currency:CHFEUR""),
IF($D7=""Libra Esterlina"", 'Original Data'!F7*GOOGLEFINANCE(""Curre"&amp;"ncy:GBPEUR""),
IF($D7=""Iene"",'Original Data'!F7*GOOGLEFINANCE(""Currency:JPYEUR""),
IF($D7=""HKD"",'Original Data'!F7*GOOGLEFINANCE(""Currency:HKDEUR""),
IF($D7=""KRW"",'Original Data'!F7*GOOGLEFINANCE(""Currency:KRWEUR""),"""")))))))"),216.25907999999998)</f>
        <v>216.25908</v>
      </c>
      <c r="G7" s="8">
        <f>IFERROR(__xludf.DUMMYFUNCTION("IF($D7=""Euro"",'Original Data'!G7,
IF($D7=""Dolar"",'Original Data'!G7*GOOGLEFINANCE(""Currency:USDEUR""),
IF($D7=""Franco Suíço"",'Original Data'!G7*GOOGLEFINANCE(""Currency:CHFEUR""),
IF($D7=""Libra Esterlina"", 'Original Data'!G7*GOOGLEFINANCE(""Curre"&amp;"ncy:GBPEUR""),
IF($D7=""Iene"",'Original Data'!G7*GOOGLEFINANCE(""Currency:JPYEUR""),
IF($D7=""HKD"",'Original Data'!G7*GOOGLEFINANCE(""Currency:HKDEUR""),
IF($D7=""KRW"",'Original Data'!G7*GOOGLEFINANCE(""Currency:KRWEUR""),"""")))))))"),162.71813999999998)</f>
        <v>162.71814</v>
      </c>
      <c r="H7" s="17">
        <v>4.02</v>
      </c>
      <c r="I7" s="7">
        <v>23.73</v>
      </c>
      <c r="J7" s="9">
        <v>0.0232</v>
      </c>
      <c r="K7" s="9">
        <v>0.1595</v>
      </c>
      <c r="L7" s="9">
        <v>0.1447</v>
      </c>
      <c r="M7" s="7" t="s">
        <v>51</v>
      </c>
      <c r="N7" s="8">
        <f>IFERROR(__xludf.DUMMYFUNCTION("IF('Original Data'!N7=""-"",""-"",
IF($D7=""Euro"",'Original Data'!N7,
IF($D7=""Dolar"",'Original Data'!N7*GOOGLEFINANCE(""Currency:USDEUR""),
IF($D7=""Franco Suíço"",'Original Data'!N7*GOOGLEFINANCE(""Currency:CHFEUR""),
IF($D7=""Libra Esterlina"", 'Orig"&amp;"inal Data'!N7*GOOGLEFINANCE(""Currency:GBPEUR""),
IF($D7=""Iene"",'Original Data'!N7*GOOGLEFINANCE(""Currency:JPYEUR""),
IF($D7=""HKD"",'Original Data'!N7*GOOGLEFINANCE(""Currency:HKDEUR""),
IF($D7=""KRW"",'Original Data'!N7*GOOGLEFINANCE(""Currency:KRWEU"&amp;"R""),""""))))))))"),9.226759999999999)</f>
        <v>9.22676</v>
      </c>
      <c r="O7" s="8">
        <f>IFERROR(__xludf.DUMMYFUNCTION("IF('Original Data'!O7=""-"",""-"",
IF($D7=""Euro"",'Original Data'!O7,
IF($D7=""Dolar"",'Original Data'!O7*GOOGLEFINANCE(""Currency:USDEUR""),
IF($D7=""Franco Suíço"",'Original Data'!O7*GOOGLEFINANCE(""Currency:CHFEUR""),
IF($D7=""Libra Esterlina"", 'Orig"&amp;"inal Data'!O7*GOOGLEFINANCE(""Currency:GBPEUR""),
IF($D7=""Iene"",'Original Data'!O7*GOOGLEFINANCE(""Currency:JPYEUR""),
IF($D7=""HKD"",'Original Data'!O7*GOOGLEFINANCE(""Currency:HKDEUR""),
IF($D7=""KRW"",'Original Data'!O7*GOOGLEFINANCE(""Currency:KRWEU"&amp;"R""),""""))))))))"),19.32657)</f>
        <v>19.32657</v>
      </c>
      <c r="P7" s="8">
        <f>IFERROR(__xludf.DUMMYFUNCTION("IF('Original Data'!P7=""-"",""-"",
IF($D7=""Euro"",'Original Data'!P7,
IF($D7=""Dolar"",'Original Data'!P7*GOOGLEFINANCE(""Currency:USDEUR""),
IF($D7=""Franco Suíço"",'Original Data'!P7*GOOGLEFINANCE(""Currency:CHFEUR""),
IF($D7=""Libra Esterlina"", 'Orig"&amp;"inal Data'!P7*GOOGLEFINANCE(""Currency:GBPEUR""),
IF($D7=""Iene"",'Original Data'!P7*GOOGLEFINANCE(""Currency:JPYEUR""),
IF($D7=""HKD"",'Original Data'!P7*GOOGLEFINANCE(""Currency:HKDEUR""),
IF($D7=""KRW"",'Original Data'!P7*GOOGLEFINANCE(""Currency:KRWEU"&amp;"R""),""""))))))))"),19.629839999999998)</f>
        <v>19.62984</v>
      </c>
      <c r="Q7" s="8">
        <f>IFERROR(__xludf.DUMMYFUNCTION("IF('Original Data'!Q7=""-"",""-"",
IF($D7=""Euro"",'Original Data'!Q7,
IF($D7=""Dolar"",'Original Data'!Q7*GOOGLEFINANCE(""Currency:USDEUR""),
IF($D7=""Franco Suíço"",'Original Data'!Q7*GOOGLEFINANCE(""Currency:CHFEUR""),
IF($D7=""Libra Esterlina"", 'Orig"&amp;"inal Data'!Q7*GOOGLEFINANCE(""Currency:GBPEUR""),
IF($D7=""Iene"",'Original Data'!Q7*GOOGLEFINANCE(""Currency:JPYEUR""),
IF($D7=""HKD"",'Original Data'!Q7*GOOGLEFINANCE(""Currency:HKDEUR""),
IF($D7=""KRW"",'Original Data'!Q7*GOOGLEFINANCE(""Currency:KRWEU"&amp;"R""),""""))))))))"),17.65399)</f>
        <v>17.65399</v>
      </c>
      <c r="R7" s="8">
        <f>IFERROR(__xludf.DUMMYFUNCTION("IF('Original Data'!R7=""-"",""-"",
IF($D7=""Euro"",'Original Data'!R7,
IF($D7=""Dolar"",'Original Data'!R7*GOOGLEFINANCE(""Currency:USDEUR""),
IF($D7=""Franco Suíço"",'Original Data'!R7*GOOGLEFINANCE(""Currency:CHFEUR""),
IF($D7=""Libra Esterlina"", 'Orig"&amp;"inal Data'!R7*GOOGLEFINANCE(""Currency:GBPEUR""),
IF($D7=""Iene"",'Original Data'!R7*GOOGLEFINANCE(""Currency:JPYEUR""),
IF($D7=""HKD"",'Original Data'!R7*GOOGLEFINANCE(""Currency:HKDEUR""),
IF($D7=""KRW"",'Original Data'!R7*GOOGLEFINANCE(""Currency:KRWEU"&amp;"R""),""""))))))))"),21.33918)</f>
        <v>21.33918</v>
      </c>
      <c r="S7" s="8">
        <f>IFERROR(__xludf.DUMMYFUNCTION("IF('Original Data'!S7=""-"",""-"",
IF($D7=""Euro"",'Original Data'!S7,
IF($D7=""Dolar"",'Original Data'!S7*GOOGLEFINANCE(""Currency:USDEUR""),
IF($D7=""Franco Suíço"",'Original Data'!S7*GOOGLEFINANCE(""Currency:CHFEUR""),
IF($D7=""Libra Esterlina"", 'Orig"&amp;"inal Data'!S7*GOOGLEFINANCE(""Currency:GBPEUR""),
IF($D7=""Iene"",'Original Data'!S7*GOOGLEFINANCE(""Currency:JPYEUR""),
IF($D7=""HKD"",'Original Data'!S7*GOOGLEFINANCE(""Currency:HKDEUR""),
IF($D7=""KRW"",'Original Data'!S7*GOOGLEFINANCE(""Currency:KRWEU"&amp;"R""),""""))))))))"),9.25433)</f>
        <v>9.25433</v>
      </c>
      <c r="T7" s="8">
        <f>IFERROR(__xludf.DUMMYFUNCTION("IF('Original Data'!T7=""-"",""-"",
IF($D7=""Euro"",'Original Data'!T7,
IF($D7=""Dolar"",'Original Data'!T7*GOOGLEFINANCE(""Currency:USDEUR""),
IF($D7=""Franco Suíço"",'Original Data'!T7*GOOGLEFINANCE(""Currency:CHFEUR""),
IF($D7=""Libra Esterlina"", 'Orig"&amp;"inal Data'!T7*GOOGLEFINANCE(""Currency:GBPEUR""),
IF($D7=""Iene"",'Original Data'!T7*GOOGLEFINANCE(""Currency:JPYEUR""),
IF($D7=""HKD"",'Original Data'!T7*GOOGLEFINANCE(""Currency:HKDEUR""),
IF($D7=""KRW"",'Original Data'!T7*GOOGLEFINANCE(""Currency:KRWEU"&amp;"R""),""""))))))))"),9.6495)</f>
        <v>9.6495</v>
      </c>
      <c r="U7" s="8">
        <f>IFERROR(__xludf.DUMMYFUNCTION("IF('Original Data'!U7=""-"",""-"",
IF($D7=""Euro"",'Original Data'!U7,
IF($D7=""Dolar"",'Original Data'!U7*GOOGLEFINANCE(""Currency:USDEUR""),
IF($D7=""Franco Suíço"",'Original Data'!U7*GOOGLEFINANCE(""Currency:CHFEUR""),
IF($D7=""Libra Esterlina"", 'Orig"&amp;"inal Data'!U7*GOOGLEFINANCE(""Currency:GBPEUR""),
IF($D7=""Iene"",'Original Data'!U7*GOOGLEFINANCE(""Currency:JPYEUR""),
IF($D7=""HKD"",'Original Data'!U7*GOOGLEFINANCE(""Currency:HKDEUR""),
IF($D7=""KRW"",'Original Data'!U7*GOOGLEFINANCE(""Currency:KRWEU"&amp;"R""),""""))))))))"),8.18829)</f>
        <v>8.18829</v>
      </c>
      <c r="V7" s="8">
        <f>IFERROR(__xludf.DUMMYFUNCTION("IF('Original Data'!V7=""-"",""-"",
IF($D7=""Euro"",'Original Data'!V7,
IF($D7=""Dolar"",'Original Data'!V7*GOOGLEFINANCE(""Currency:USDEUR""),
IF($D7=""Franco Suíço"",'Original Data'!V7*GOOGLEFINANCE(""Currency:CHFEUR""),
IF($D7=""Libra Esterlina"", 'Orig"&amp;"inal Data'!V7*GOOGLEFINANCE(""Currency:GBPEUR""),
IF($D7=""Iene"",'Original Data'!V7*GOOGLEFINANCE(""Currency:JPYEUR""),
IF($D7=""HKD"",'Original Data'!V7*GOOGLEFINANCE(""Currency:HKDEUR""),
IF($D7=""KRW"",'Original Data'!V7*GOOGLEFINANCE(""Currency:KRWEU"&amp;"R""),""""))))))))"),10.69716)</f>
        <v>10.69716</v>
      </c>
      <c r="W7" s="7" t="s">
        <v>52</v>
      </c>
      <c r="X7" s="7" t="s">
        <v>52</v>
      </c>
      <c r="Y7" s="7" t="s">
        <v>53</v>
      </c>
      <c r="Z7" s="7" t="s">
        <v>54</v>
      </c>
      <c r="AA7" s="7" t="s">
        <v>52</v>
      </c>
      <c r="AB7" s="7" t="s">
        <v>55</v>
      </c>
      <c r="AC7" s="7">
        <v>24.0</v>
      </c>
      <c r="AD7" s="7">
        <v>4.1</v>
      </c>
      <c r="AE7" s="7">
        <v>14.4</v>
      </c>
      <c r="AF7" s="7">
        <v>5.9</v>
      </c>
      <c r="AG7" s="7">
        <v>3.0</v>
      </c>
    </row>
    <row r="8">
      <c r="A8" s="16" t="s">
        <v>56</v>
      </c>
      <c r="B8" s="16" t="s">
        <v>57</v>
      </c>
      <c r="C8" s="16" t="s">
        <v>58</v>
      </c>
      <c r="D8" s="7" t="s">
        <v>40</v>
      </c>
      <c r="E8" s="8">
        <f>IFERROR(__xludf.DUMMYFUNCTION("IF($D8=""Euro"",'Original Data'!E8,
IF($D8=""Dolar"",'Original Data'!E8*GOOGLEFINANCE(""Currency:USDEUR""),
IF($D8=""Franco Suíço"",'Original Data'!E8*GOOGLEFINANCE(""Currency:CHFEUR""),
IF($D8=""Libra Esterlina"", 'Original Data'!E8*GOOGLEFINANCE(""Curre"&amp;"ncy:GBPEUR""),
IF($D8=""Iene"",'Original Data'!E8*GOOGLEFINANCE(""Currency:JPYEUR""),
IF($D8=""HKD"",'Original Data'!E8*GOOGLEFINANCE(""Currency:HKDEUR""),
IF($D8=""KRW"",'Original Data'!E8*GOOGLEFINANCE(""Currency:KRWEUR""),"""")))))))"),2.9408)</f>
        <v>2.9408</v>
      </c>
      <c r="F8" s="8">
        <f>IFERROR(__xludf.DUMMYFUNCTION("IF($D8=""Euro"",'Original Data'!F8,
IF($D8=""Dolar"",'Original Data'!F8*GOOGLEFINANCE(""Currency:USDEUR""),
IF($D8=""Franco Suíço"",'Original Data'!F8*GOOGLEFINANCE(""Currency:CHFEUR""),
IF($D8=""Libra Esterlina"", 'Original Data'!F8*GOOGLEFINANCE(""Curre"&amp;"ncy:GBPEUR""),
IF($D8=""Iene"",'Original Data'!F8*GOOGLEFINANCE(""Currency:JPYEUR""),
IF($D8=""HKD"",'Original Data'!F8*GOOGLEFINANCE(""Currency:HKDEUR""),
IF($D8=""KRW"",'Original Data'!F8*GOOGLEFINANCE(""Currency:KRWEUR""),"""")))))))"),31.337899999999998)</f>
        <v>31.3379</v>
      </c>
      <c r="G8" s="18">
        <f>IFERROR(__xludf.DUMMYFUNCTION("IF($D8=""Euro"",'Original Data'!G8,
IF($D8=""Dolar"",'Original Data'!G8*GOOGLEFINANCE(""Currency:USDEUR""),
IF($D8=""Franco Suíço"",'Original Data'!G8*GOOGLEFINANCE(""Currency:CHFEUR""),
IF($D8=""Libra Esterlina"", 'Original Data'!G8*GOOGLEFINANCE(""Curre"&amp;"ncy:GBPEUR""),
IF($D8=""Iene"",'Original Data'!G8*GOOGLEFINANCE(""Currency:JPYEUR""),
IF($D8=""HKD"",'Original Data'!G8*GOOGLEFINANCE(""Currency:HKDEUR""),
IF($D8=""KRW"",'Original Data'!G8*GOOGLEFINANCE(""Currency:KRWEUR""),"""")))))))"),29.69289)</f>
        <v>29.69289</v>
      </c>
      <c r="H8" s="17">
        <v>0.007846</v>
      </c>
      <c r="I8" s="7" t="s">
        <v>41</v>
      </c>
      <c r="J8" s="9">
        <v>0.0521</v>
      </c>
      <c r="K8" s="9">
        <v>0.025</v>
      </c>
      <c r="L8" s="9">
        <v>0.0175</v>
      </c>
      <c r="M8" s="9">
        <v>0.0428</v>
      </c>
      <c r="N8" s="8">
        <f>IFERROR(__xludf.DUMMYFUNCTION("'Original Data'!N8*GOOGLEFINANCE(""Currency:KRWEUR"")"),14.282486201516004)</f>
        <v>14.2824862</v>
      </c>
      <c r="O8" s="8">
        <f>IFERROR(__xludf.DUMMYFUNCTION("'Original Data'!O8*GOOGLEFINANCE(""Currency:KRWEUR"")"),72.804408277503)</f>
        <v>72.80440828</v>
      </c>
      <c r="P8" s="8">
        <f>IFERROR(__xludf.DUMMYFUNCTION("'Original Data'!P8*GOOGLEFINANCE(""Currency:KRWEUR"")"),79.52759193622501)</f>
        <v>79.52759194</v>
      </c>
      <c r="Q8" s="8">
        <f>IFERROR(__xludf.DUMMYFUNCTION("'Original Data'!Q8*GOOGLEFINANCE(""Currency:KRWEUR"")"),78.2115324952)</f>
        <v>78.2115325</v>
      </c>
      <c r="R8" s="8">
        <f>IFERROR(__xludf.DUMMYFUNCTION("'Original Data'!R8*GOOGLEFINANCE(""Currency:KRWEUR"")"),88.4474668105093)</f>
        <v>88.44746681</v>
      </c>
      <c r="S8" s="8">
        <f>IFERROR(__xludf.DUMMYFUNCTION("'Original Data'!S8*GOOGLEFINANCE(""Currency:KRWEUR"")"),4.647569911734)</f>
        <v>4.647569912</v>
      </c>
      <c r="T8" s="8">
        <f>IFERROR(__xludf.DUMMYFUNCTION("'Original Data'!T8*GOOGLEFINANCE(""Currency:KRWEUR"")"),5.730498823206)</f>
        <v>5.730498823</v>
      </c>
      <c r="U8" s="8">
        <f>IFERROR(__xludf.DUMMYFUNCTION("'Original Data'!U8*GOOGLEFINANCE(""Currency:KRWEUR"")"),5.098790291514)</f>
        <v>5.098790292</v>
      </c>
      <c r="V8" s="8">
        <f>IFERROR(__xludf.DUMMYFUNCTION("'Original Data'!V8*GOOGLEFINANCE(""Currency:KRWEUR"")"),8.603268574472)</f>
        <v>8.603268574</v>
      </c>
      <c r="W8" s="7" t="s">
        <v>35</v>
      </c>
      <c r="X8" s="7" t="s">
        <v>43</v>
      </c>
      <c r="Y8" s="7" t="s">
        <v>59</v>
      </c>
      <c r="Z8" s="7" t="s">
        <v>59</v>
      </c>
      <c r="AA8" s="7" t="s">
        <v>35</v>
      </c>
      <c r="AB8" s="7" t="s">
        <v>35</v>
      </c>
      <c r="AC8" s="7" t="s">
        <v>41</v>
      </c>
      <c r="AD8" s="7" t="s">
        <v>41</v>
      </c>
      <c r="AE8" s="7" t="s">
        <v>41</v>
      </c>
      <c r="AF8" s="7" t="s">
        <v>41</v>
      </c>
      <c r="AG8" s="7" t="s">
        <v>41</v>
      </c>
    </row>
    <row r="9">
      <c r="A9" s="16" t="s">
        <v>60</v>
      </c>
      <c r="B9" s="16" t="s">
        <v>61</v>
      </c>
      <c r="C9" s="16" t="s">
        <v>62</v>
      </c>
      <c r="D9" s="7" t="s">
        <v>40</v>
      </c>
      <c r="E9" s="8">
        <f>IFERROR(__xludf.DUMMYFUNCTION("IF($D9=""Euro"",'Original Data'!E9,
IF($D9=""Dolar"",'Original Data'!E9*GOOGLEFINANCE(""Currency:USDEUR""),
IF($D9=""Franco Suíço"",'Original Data'!E9*GOOGLEFINANCE(""Currency:CHFEUR""),
IF($D9=""Libra Esterlina"", 'Original Data'!E9*GOOGLEFINANCE(""Curre"&amp;"ncy:GBPEUR""),
IF($D9=""Iene"",'Original Data'!E9*GOOGLEFINANCE(""Currency:JPYEUR""),
IF($D9=""HKD"",'Original Data'!E9*GOOGLEFINANCE(""Currency:HKDEUR""),
IF($D9=""KRW"",'Original Data'!E9*GOOGLEFINANCE(""Currency:KRWEUR""),"""")))))))"),5.54157)</f>
        <v>5.54157</v>
      </c>
      <c r="F9" s="8">
        <f>IFERROR(__xludf.DUMMYFUNCTION("IF($D9=""Euro"",'Original Data'!F9,
IF($D9=""Dolar"",'Original Data'!F9*GOOGLEFINANCE(""Currency:USDEUR""),
IF($D9=""Franco Suíço"",'Original Data'!F9*GOOGLEFINANCE(""Currency:CHFEUR""),
IF($D9=""Libra Esterlina"", 'Original Data'!F9*GOOGLEFINANCE(""Curre"&amp;"ncy:GBPEUR""),
IF($D9=""Iene"",'Original Data'!F9*GOOGLEFINANCE(""Currency:JPYEUR""),
IF($D9=""HKD"",'Original Data'!F9*GOOGLEFINANCE(""Currency:HKDEUR""),
IF($D9=""KRW"",'Original Data'!F9*GOOGLEFINANCE(""Currency:KRWEUR""),"""")))))))"),205.55272999999997)</f>
        <v>205.55273</v>
      </c>
      <c r="G9" s="8">
        <f>IFERROR(__xludf.DUMMYFUNCTION("IF($D9=""Euro"",'Original Data'!G9,
IF($D9=""Dolar"",'Original Data'!G9*GOOGLEFINANCE(""Currency:USDEUR""),
IF($D9=""Franco Suíço"",'Original Data'!G9*GOOGLEFINANCE(""Currency:CHFEUR""),
IF($D9=""Libra Esterlina"", 'Original Data'!G9*GOOGLEFINANCE(""Curre"&amp;"ncy:GBPEUR""),
IF($D9=""Iene"",'Original Data'!G9*GOOGLEFINANCE(""Currency:JPYEUR""),
IF($D9=""HKD"",'Original Data'!G9*GOOGLEFINANCE(""Currency:HKDEUR""),
IF($D9=""KRW"",'Original Data'!G9*GOOGLEFINANCE(""Currency:KRWEUR""),"""")))))))"),110.16971999999998)</f>
        <v>110.16972</v>
      </c>
      <c r="H9" s="17">
        <v>4.2</v>
      </c>
      <c r="I9" s="7">
        <v>18.93</v>
      </c>
      <c r="J9" s="9">
        <v>0.0199</v>
      </c>
      <c r="K9" s="9">
        <v>0.0954</v>
      </c>
      <c r="L9" s="9">
        <v>0.0623</v>
      </c>
      <c r="M9" s="9">
        <v>0.3375</v>
      </c>
      <c r="N9" s="8">
        <f>IFERROR(__xludf.DUMMYFUNCTION("IF('Original Data'!N9=""-"",""-"",
IF($D9=""Euro"",'Original Data'!N9,
IF($D9=""Dolar"",'Original Data'!N9*GOOGLEFINANCE(""Currency:USDEUR""),
IF($D9=""Franco Suíço"",'Original Data'!N9*GOOGLEFINANCE(""Currency:CHFEUR""),
IF($D9=""Libra Esterlina"", 'Orig"&amp;"inal Data'!N9*GOOGLEFINANCE(""Currency:GBPEUR""),
IF($D9=""Iene"",'Original Data'!N9*GOOGLEFINANCE(""Currency:JPYEUR""),
IF($D9=""HKD"",'Original Data'!N9*GOOGLEFINANCE(""Currency:HKDEUR""),
IF($D9=""KRW"",'Original Data'!N9*GOOGLEFINANCE(""Currency:KRWEU"&amp;"R""),""""))))))))"),10.899339999999999)</f>
        <v>10.89934</v>
      </c>
      <c r="O9" s="8">
        <f>IFERROR(__xludf.DUMMYFUNCTION("IF('Original Data'!O9=""-"",""-"",
IF($D9=""Euro"",'Original Data'!O9,
IF($D9=""Dolar"",'Original Data'!O9*GOOGLEFINANCE(""Currency:USDEUR""),
IF($D9=""Franco Suíço"",'Original Data'!O9*GOOGLEFINANCE(""Currency:CHFEUR""),
IF($D9=""Libra Esterlina"", 'Orig"&amp;"inal Data'!O9*GOOGLEFINANCE(""Currency:GBPEUR""),
IF($D9=""Iene"",'Original Data'!O9*GOOGLEFINANCE(""Currency:JPYEUR""),
IF($D9=""HKD"",'Original Data'!O9*GOOGLEFINANCE(""Currency:HKDEUR""),
IF($D9=""KRW"",'Original Data'!O9*GOOGLEFINANCE(""Currency:KRWEU"&amp;"R""),""""))))))))"),50.287679999999995)</f>
        <v>50.28768</v>
      </c>
      <c r="P9" s="8">
        <f>IFERROR(__xludf.DUMMYFUNCTION("IF('Original Data'!P9=""-"",""-"",
IF($D9=""Euro"",'Original Data'!P9,
IF($D9=""Dolar"",'Original Data'!P9*GOOGLEFINANCE(""Currency:USDEUR""),
IF($D9=""Franco Suíço"",'Original Data'!P9*GOOGLEFINANCE(""Currency:CHFEUR""),
IF($D9=""Libra Esterlina"", 'Orig"&amp;"inal Data'!P9*GOOGLEFINANCE(""Currency:GBPEUR""),
IF($D9=""Iene"",'Original Data'!P9*GOOGLEFINANCE(""Currency:JPYEUR""),
IF($D9=""HKD"",'Original Data'!P9*GOOGLEFINANCE(""Currency:HKDEUR""),
IF($D9=""KRW"",'Original Data'!P9*GOOGLEFINANCE(""Currency:KRWEU"&amp;"R""),""""))))))))"),49.433009999999996)</f>
        <v>49.43301</v>
      </c>
      <c r="Q9" s="8">
        <f>IFERROR(__xludf.DUMMYFUNCTION("IF('Original Data'!Q9=""-"",""-"",
IF($D9=""Euro"",'Original Data'!Q9,
IF($D9=""Dolar"",'Original Data'!Q9*GOOGLEFINANCE(""Currency:USDEUR""),
IF($D9=""Franco Suíço"",'Original Data'!Q9*GOOGLEFINANCE(""Currency:CHFEUR""),
IF($D9=""Libra Esterlina"", 'Orig"&amp;"inal Data'!Q9*GOOGLEFINANCE(""Currency:GBPEUR""),
IF($D9=""Iene"",'Original Data'!Q9*GOOGLEFINANCE(""Currency:JPYEUR""),
IF($D9=""HKD"",'Original Data'!Q9*GOOGLEFINANCE(""Currency:HKDEUR""),
IF($D9=""KRW"",'Original Data'!Q9*GOOGLEFINANCE(""Currency:KRWEU"&amp;"R""),""""))))))))"),38.368249999999996)</f>
        <v>38.36825</v>
      </c>
      <c r="R9" s="8">
        <f>IFERROR(__xludf.DUMMYFUNCTION("IF('Original Data'!R9=""-"",""-"",
IF($D9=""Euro"",'Original Data'!R9,
IF($D9=""Dolar"",'Original Data'!R9*GOOGLEFINANCE(""Currency:USDEUR""),
IF($D9=""Franco Suíço"",'Original Data'!R9*GOOGLEFINANCE(""Currency:CHFEUR""),
IF($D9=""Libra Esterlina"", 'Orig"&amp;"inal Data'!R9*GOOGLEFINANCE(""Currency:GBPEUR""),
IF($D9=""Iene"",'Original Data'!R9*GOOGLEFINANCE(""Currency:JPYEUR""),
IF($D9=""HKD"",'Original Data'!R9*GOOGLEFINANCE(""Currency:HKDEUR""),
IF($D9=""KRW"",'Original Data'!R9*GOOGLEFINANCE(""Currency:KRWEU"&amp;"R""),""""))))))))"),46.85061999999999)</f>
        <v>46.85062</v>
      </c>
      <c r="S9" s="8">
        <f>IFERROR(__xludf.DUMMYFUNCTION("IF('Original Data'!S9=""-"",""-"",
IF($D9=""Euro"",'Original Data'!S9,
IF($D9=""Dolar"",'Original Data'!S9*GOOGLEFINANCE(""Currency:USDEUR""),
IF($D9=""Franco Suíço"",'Original Data'!S9*GOOGLEFINANCE(""Currency:CHFEUR""),
IF($D9=""Libra Esterlina"", 'Orig"&amp;"inal Data'!S9*GOOGLEFINANCE(""Currency:GBPEUR""),
IF($D9=""Iene"",'Original Data'!S9*GOOGLEFINANCE(""Currency:JPYEUR""),
IF($D9=""HKD"",'Original Data'!S9*GOOGLEFINANCE(""Currency:HKDEUR""),
IF($D9=""KRW"",'Original Data'!S9*GOOGLEFINANCE(""Currency:KRWEU"&amp;"R""),""""))))))))"),10.504169999999998)</f>
        <v>10.50417</v>
      </c>
      <c r="T9" s="8">
        <f>IFERROR(__xludf.DUMMYFUNCTION("IF('Original Data'!T9=""-"",""-"",
IF($D9=""Euro"",'Original Data'!T9,
IF($D9=""Dolar"",'Original Data'!T9*GOOGLEFINANCE(""Currency:USDEUR""),
IF($D9=""Franco Suíço"",'Original Data'!T9*GOOGLEFINANCE(""Currency:CHFEUR""),
IF($D9=""Libra Esterlina"", 'Orig"&amp;"inal Data'!T9*GOOGLEFINANCE(""Currency:GBPEUR""),
IF($D9=""Iene"",'Original Data'!T9*GOOGLEFINANCE(""Currency:JPYEUR""),
IF($D9=""HKD"",'Original Data'!T9*GOOGLEFINANCE(""Currency:HKDEUR""),
IF($D9=""KRW"",'Original Data'!T9*GOOGLEFINANCE(""Currency:KRWEU"&amp;"R""),""""))))))))"),10.17333)</f>
        <v>10.17333</v>
      </c>
      <c r="U9" s="8">
        <f>IFERROR(__xludf.DUMMYFUNCTION("IF('Original Data'!U9=""-"",""-"",
IF($D9=""Euro"",'Original Data'!U9,
IF($D9=""Dolar"",'Original Data'!U9*GOOGLEFINANCE(""Currency:USDEUR""),
IF($D9=""Franco Suíço"",'Original Data'!U9*GOOGLEFINANCE(""Currency:CHFEUR""),
IF($D9=""Libra Esterlina"", 'Orig"&amp;"inal Data'!U9*GOOGLEFINANCE(""Currency:GBPEUR""),
IF($D9=""Iene"",'Original Data'!U9*GOOGLEFINANCE(""Currency:JPYEUR""),
IF($D9=""HKD"",'Original Data'!U9*GOOGLEFINANCE(""Currency:HKDEUR""),
IF($D9=""KRW"",'Original Data'!U9*GOOGLEFINANCE(""Currency:KRWEU"&amp;"R""),""""))))))))"),6.80979)</f>
        <v>6.80979</v>
      </c>
      <c r="V9" s="8">
        <f>IFERROR(__xludf.DUMMYFUNCTION("IF('Original Data'!V9=""-"",""-"",
IF($D9=""Euro"",'Original Data'!V9,
IF($D9=""Dolar"",'Original Data'!V9*GOOGLEFINANCE(""Currency:USDEUR""),
IF($D9=""Franco Suíço"",'Original Data'!V9*GOOGLEFINANCE(""Currency:CHFEUR""),
IF($D9=""Libra Esterlina"", 'Orig"&amp;"inal Data'!V9*GOOGLEFINANCE(""Currency:GBPEUR""),
IF($D9=""Iene"",'Original Data'!V9*GOOGLEFINANCE(""Currency:JPYEUR""),
IF($D9=""HKD"",'Original Data'!V9*GOOGLEFINANCE(""Currency:HKDEUR""),
IF($D9=""KRW"",'Original Data'!V9*GOOGLEFINANCE(""Currency:KRWEU"&amp;"R""),""""))))))))"),8.56508)</f>
        <v>8.56508</v>
      </c>
      <c r="W9" s="7" t="s">
        <v>59</v>
      </c>
      <c r="X9" s="7" t="s">
        <v>59</v>
      </c>
      <c r="Y9" s="7" t="s">
        <v>41</v>
      </c>
      <c r="Z9" s="7" t="s">
        <v>41</v>
      </c>
      <c r="AA9" s="7" t="s">
        <v>59</v>
      </c>
      <c r="AB9" s="7" t="s">
        <v>59</v>
      </c>
      <c r="AC9" s="7">
        <v>34.0</v>
      </c>
      <c r="AD9" s="7">
        <v>7.2</v>
      </c>
      <c r="AE9" s="7">
        <v>18.5</v>
      </c>
      <c r="AF9" s="7">
        <v>8.6</v>
      </c>
      <c r="AG9" s="7">
        <v>4.0</v>
      </c>
    </row>
    <row r="10">
      <c r="A10" s="16" t="s">
        <v>63</v>
      </c>
      <c r="B10" s="16" t="s">
        <v>64</v>
      </c>
      <c r="C10" s="16" t="s">
        <v>65</v>
      </c>
      <c r="D10" s="7" t="s">
        <v>40</v>
      </c>
      <c r="E10" s="8">
        <f>IFERROR(__xludf.DUMMYFUNCTION("IF($D10=""Euro"",'Original Data'!E10,
IF($D10=""Dolar"",'Original Data'!E10*GOOGLEFINANCE(""Currency:USDEUR""),
IF($D10=""Franco Suíço"",'Original Data'!E10*GOOGLEFINANCE(""Currency:CHFEUR""),
IF($D10=""Libra Esterlina"", 'Original Data'!E10*GOOGLEFINANCE"&amp;"(""Currency:GBPEUR""),
IF($D10=""Iene"",'Original Data'!E10*GOOGLEFINANCE(""Currency:JPYEUR""),
IF($D10=""HKD"",'Original Data'!E10*GOOGLEFINANCE(""Currency:HKDEUR""),
IF($D10=""KRW"",'Original Data'!E10*GOOGLEFINANCE(""Currency:KRWEUR""),"""")))))))"),78.92371999999999)</f>
        <v>78.92372</v>
      </c>
      <c r="F10" s="8">
        <f>IFERROR(__xludf.DUMMYFUNCTION("IF($D10=""Euro"",'Original Data'!F10,
IF($D10=""Dolar"",'Original Data'!F10*GOOGLEFINANCE(""Currency:USDEUR""),
IF($D10=""Franco Suíço"",'Original Data'!F10*GOOGLEFINANCE(""Currency:CHFEUR""),
IF($D10=""Libra Esterlina"", 'Original Data'!F10*GOOGLEFINANCE"&amp;"(""Currency:GBPEUR""),
IF($D10=""Iene"",'Original Data'!F10*GOOGLEFINANCE(""Currency:JPYEUR""),
IF($D10=""HKD"",'Original Data'!F10*GOOGLEFINANCE(""Currency:HKDEUR""),
IF($D10=""KRW"",'Original Data'!F10*GOOGLEFINANCE(""Currency:KRWEUR""),"""")))))))"),95.14407)</f>
        <v>95.14407</v>
      </c>
      <c r="G10" s="8">
        <f>IFERROR(__xludf.DUMMYFUNCTION("IF($D10=""Euro"",'Original Data'!G10,
IF($D10=""Dolar"",'Original Data'!G10*GOOGLEFINANCE(""Currency:USDEUR""),
IF($D10=""Franco Suíço"",'Original Data'!G10*GOOGLEFINANCE(""Currency:CHFEUR""),
IF($D10=""Libra Esterlina"", 'Original Data'!G10*GOOGLEFINANCE"&amp;"(""Currency:GBPEUR""),
IF($D10=""Iene"",'Original Data'!G10*GOOGLEFINANCE(""Currency:JPYEUR""),
IF($D10=""HKD"",'Original Data'!G10*GOOGLEFINANCE(""Currency:HKDEUR""),
IF($D10=""KRW"",'Original Data'!G10*GOOGLEFINANCE(""Currency:KRWEUR""),"""")))))))"),259.00176999999996)</f>
        <v>259.00177</v>
      </c>
      <c r="H10" s="17">
        <v>35.92</v>
      </c>
      <c r="I10" s="7">
        <v>30.63</v>
      </c>
      <c r="J10" s="7" t="s">
        <v>51</v>
      </c>
      <c r="K10" s="9">
        <v>0.153</v>
      </c>
      <c r="L10" s="9">
        <v>0.1083</v>
      </c>
      <c r="M10" s="9">
        <v>0.2004</v>
      </c>
      <c r="N10" s="8">
        <f>IFERROR(__xludf.DUMMYFUNCTION("'Original Data'!N10*GOOGLEFINANCE(""Currency:CNYEUR"")"),1.26430772475)</f>
        <v>1.264307725</v>
      </c>
      <c r="O10" s="8">
        <f>IFERROR(__xludf.DUMMYFUNCTION("'Original Data'!O10*GOOGLEFINANCE(""Currency:CNYEUR"")"),36.161512804832405)</f>
        <v>36.1615128</v>
      </c>
      <c r="P10" s="8">
        <f>IFERROR(__xludf.DUMMYFUNCTION("'Original Data'!P10*GOOGLEFINANCE(""Currency:CNYEUR"")"),54.451060597221606)</f>
        <v>54.4510606</v>
      </c>
      <c r="Q10" s="8">
        <f>IFERROR(__xludf.DUMMYFUNCTION("'Original Data'!Q10*GOOGLEFINANCE(""Currency:CNYEUR"")"),73.6493205360054)</f>
        <v>73.64932054</v>
      </c>
      <c r="R10" s="8">
        <f>IFERROR(__xludf.DUMMYFUNCTION("'Original Data'!R10*GOOGLEFINANCE(""Currency:CNYEUR"")"),103.6427455517946)</f>
        <v>103.6427456</v>
      </c>
      <c r="S10" s="8">
        <f>IFERROR(__xludf.DUMMYFUNCTION("'Original Data'!S10*GOOGLEFINANCE(""Currency:CNYEUR"")"),15.748217019486)</f>
        <v>15.74821702</v>
      </c>
      <c r="T10" s="8">
        <f>IFERROR(__xludf.DUMMYFUNCTION("'Original Data'!T10*GOOGLEFINANCE(""Currency:CNYEUR"")"),17.6198259290502)</f>
        <v>17.61982593</v>
      </c>
      <c r="U10" s="8">
        <f>IFERROR(__xludf.DUMMYFUNCTION("'Original Data'!U10*GOOGLEFINANCE(""Currency:CNYEUR"")"),22.780513323012602)</f>
        <v>22.78051332</v>
      </c>
      <c r="V10" s="8">
        <f>IFERROR(__xludf.DUMMYFUNCTION("'Original Data'!V10*GOOGLEFINANCE(""Currency:CNYEUR"")"),28.442155560598806)</f>
        <v>28.44215556</v>
      </c>
      <c r="W10" s="7" t="s">
        <v>59</v>
      </c>
      <c r="X10" s="7" t="s">
        <v>59</v>
      </c>
      <c r="Y10" s="7" t="s">
        <v>59</v>
      </c>
      <c r="Z10" s="7" t="s">
        <v>59</v>
      </c>
      <c r="AA10" s="7" t="s">
        <v>41</v>
      </c>
      <c r="AB10" s="7" t="s">
        <v>41</v>
      </c>
      <c r="AC10" s="7" t="s">
        <v>41</v>
      </c>
      <c r="AD10" s="7" t="s">
        <v>41</v>
      </c>
      <c r="AE10" s="7" t="s">
        <v>41</v>
      </c>
      <c r="AF10" s="7" t="s">
        <v>41</v>
      </c>
      <c r="AG10" s="7" t="s">
        <v>41</v>
      </c>
    </row>
    <row r="11">
      <c r="A11" s="16" t="s">
        <v>66</v>
      </c>
      <c r="B11" s="16" t="s">
        <v>67</v>
      </c>
      <c r="C11" s="16" t="s">
        <v>68</v>
      </c>
      <c r="D11" s="7" t="s">
        <v>40</v>
      </c>
      <c r="E11" s="8">
        <f>IFERROR(__xludf.DUMMYFUNCTION("IF($D11=""Euro"",'Original Data'!E11,
IF($D11=""Dolar"",'Original Data'!E11*GOOGLEFINANCE(""Currency:USDEUR""),
IF($D11=""Franco Suíço"",'Original Data'!E11*GOOGLEFINANCE(""Currency:CHFEUR""),
IF($D11=""Libra Esterlina"", 'Original Data'!E11*GOOGLEFINANCE"&amp;"(""Currency:GBPEUR""),
IF($D11=""Iene"",'Original Data'!E11*GOOGLEFINANCE(""Currency:JPYEUR""),
IF($D11=""HKD"",'Original Data'!E11*GOOGLEFINANCE(""Currency:HKDEUR""),
IF($D11=""KRW"",'Original Data'!E11*GOOGLEFINANCE(""Currency:KRWEUR""),"""")))))))"),0.29408)</f>
        <v>0.29408</v>
      </c>
      <c r="F11" s="8">
        <f>IFERROR(__xludf.DUMMYFUNCTION("IF($D11=""Euro"",'Original Data'!F11,
IF($D11=""Dolar"",'Original Data'!F11*GOOGLEFINANCE(""Currency:USDEUR""),
IF($D11=""Franco Suíço"",'Original Data'!F11*GOOGLEFINANCE(""Currency:CHFEUR""),
IF($D11=""Libra Esterlina"", 'Original Data'!F11*GOOGLEFINANCE"&amp;"(""Currency:GBPEUR""),
IF($D11=""Iene"",'Original Data'!F11*GOOGLEFINANCE(""Currency:JPYEUR""),
IF($D11=""HKD"",'Original Data'!F11*GOOGLEFINANCE(""Currency:HKDEUR""),
IF($D11=""KRW"",'Original Data'!F11*GOOGLEFINANCE(""Currency:KRWEUR""),"""")))))))"),79.82433999999999)</f>
        <v>79.82434</v>
      </c>
      <c r="G11" s="8">
        <f>IFERROR(__xludf.DUMMYFUNCTION("IF($D11=""Euro"",'Original Data'!G11,
IF($D11=""Dolar"",'Original Data'!G11*GOOGLEFINANCE(""Currency:USDEUR""),
IF($D11=""Franco Suíço"",'Original Data'!G11*GOOGLEFINANCE(""Currency:CHFEUR""),
IF($D11=""Libra Esterlina"", 'Original Data'!G11*GOOGLEFINANCE"&amp;"(""Currency:GBPEUR""),
IF($D11=""Iene"",'Original Data'!G11*GOOGLEFINANCE(""Currency:JPYEUR""),
IF($D11=""HKD"",'Original Data'!G11*GOOGLEFINANCE(""Currency:HKDEUR""),
IF($D11=""KRW"",'Original Data'!G11*GOOGLEFINANCE(""Currency:KRWEUR""),"""")))))))"),91.82647999999999)</f>
        <v>91.82648</v>
      </c>
      <c r="H11" s="17">
        <v>10.13</v>
      </c>
      <c r="I11" s="7">
        <v>23.71</v>
      </c>
      <c r="J11" s="9">
        <v>0.0223</v>
      </c>
      <c r="K11" s="9">
        <v>0.2031</v>
      </c>
      <c r="L11" s="9">
        <v>0.1481</v>
      </c>
      <c r="M11" s="7" t="s">
        <v>51</v>
      </c>
      <c r="N11" s="8">
        <f>IFERROR(__xludf.DUMMYFUNCTION("IF('Original Data'!N11=""-"",""-"",
IF($D11=""Euro"",'Original Data'!N11,
IF($D11=""Dolar"",'Original Data'!N11*GOOGLEFINANCE(""Currency:USDEUR""),
IF($D11=""Franco Suíço"",'Original Data'!N11*GOOGLEFINANCE(""Currency:CHFEUR""),
IF($D11=""Libra Esterlina"&amp;""", 'Original Data'!N11*GOOGLEFINANCE(""Currency:GBPEUR""),
IF($D11=""Iene"",'Original Data'!N11*GOOGLEFINANCE(""Currency:JPYEUR""),
IF($D11=""HKD"",'Original Data'!N11*GOOGLEFINANCE(""Currency:HKDEUR""),
IF($D11=""KRW"",'Original Data'!N11*GOOGLEFINANCE("&amp;"""Currency:KRWEUR""),""""))))))))"),3.2808299999999995)</f>
        <v>3.28083</v>
      </c>
      <c r="O11" s="8">
        <f>IFERROR(__xludf.DUMMYFUNCTION("IF('Original Data'!O11=""-"",""-"",
IF($D11=""Euro"",'Original Data'!O11,
IF($D11=""Dolar"",'Original Data'!O11*GOOGLEFINANCE(""Currency:USDEUR""),
IF($D11=""Franco Suíço"",'Original Data'!O11*GOOGLEFINANCE(""Currency:CHFEUR""),
IF($D11=""Libra Esterlina"&amp;""", 'Original Data'!O11*GOOGLEFINANCE(""Currency:GBPEUR""),
IF($D11=""Iene"",'Original Data'!O11*GOOGLEFINANCE(""Currency:JPYEUR""),
IF($D11=""HKD"",'Original Data'!O11*GOOGLEFINANCE(""Currency:HKDEUR""),
IF($D11=""KRW"",'Original Data'!O11*GOOGLEFINANCE("&amp;"""Currency:KRWEUR""),""""))))))))"),22.717679999999998)</f>
        <v>22.71768</v>
      </c>
      <c r="P11" s="8">
        <f>IFERROR(__xludf.DUMMYFUNCTION("IF('Original Data'!P11=""-"",""-"",
IF($D11=""Euro"",'Original Data'!P11,
IF($D11=""Dolar"",'Original Data'!P11*GOOGLEFINANCE(""Currency:USDEUR""),
IF($D11=""Franco Suíço"",'Original Data'!P11*GOOGLEFINANCE(""Currency:CHFEUR""),
IF($D11=""Libra Esterlina"&amp;""", 'Original Data'!P11*GOOGLEFINANCE(""Currency:GBPEUR""),
IF($D11=""Iene"",'Original Data'!P11*GOOGLEFINANCE(""Currency:JPYEUR""),
IF($D11=""HKD"",'Original Data'!P11*GOOGLEFINANCE(""Currency:HKDEUR""),
IF($D11=""KRW"",'Original Data'!P11*GOOGLEFINANCE("&amp;"""Currency:KRWEUR""),""""))))))))"),24.353499999999997)</f>
        <v>24.3535</v>
      </c>
      <c r="Q11" s="8">
        <f>IFERROR(__xludf.DUMMYFUNCTION("IF('Original Data'!Q11=""-"",""-"",
IF($D11=""Euro"",'Original Data'!Q11,
IF($D11=""Dolar"",'Original Data'!Q11*GOOGLEFINANCE(""Currency:USDEUR""),
IF($D11=""Franco Suíço"",'Original Data'!Q11*GOOGLEFINANCE(""Currency:CHFEUR""),
IF($D11=""Libra Esterlina"&amp;""", 'Original Data'!Q11*GOOGLEFINANCE(""Currency:GBPEUR""),
IF($D11=""Iene"",'Original Data'!Q11*GOOGLEFINANCE(""Currency:JPYEUR""),
IF($D11=""HKD"",'Original Data'!Q11*GOOGLEFINANCE(""Currency:HKDEUR""),
IF($D11=""KRW"",'Original Data'!Q11*GOOGLEFINANCE("&amp;"""Currency:KRWEUR""),""""))))))))"),21.60569)</f>
        <v>21.60569</v>
      </c>
      <c r="R11" s="8">
        <f>IFERROR(__xludf.DUMMYFUNCTION("IF('Original Data'!R11=""-"",""-"",
IF($D11=""Euro"",'Original Data'!R11,
IF($D11=""Dolar"",'Original Data'!R11*GOOGLEFINANCE(""Currency:USDEUR""),
IF($D11=""Franco Suíço"",'Original Data'!R11*GOOGLEFINANCE(""Currency:CHFEUR""),
IF($D11=""Libra Esterlina"&amp;""", 'Original Data'!R11*GOOGLEFINANCE(""Currency:GBPEUR""),
IF($D11=""Iene"",'Original Data'!R11*GOOGLEFINANCE(""Currency:JPYEUR""),
IF($D11=""HKD"",'Original Data'!R11*GOOGLEFINANCE(""Currency:HKDEUR""),
IF($D11=""KRW"",'Original Data'!R11*GOOGLEFINANCE("&amp;"""Currency:KRWEUR""),""""))))))))"),26.706139999999998)</f>
        <v>26.70614</v>
      </c>
      <c r="S11" s="8">
        <f>IFERROR(__xludf.DUMMYFUNCTION("IF('Original Data'!S11=""-"",""-"",
IF($D11=""Euro"",'Original Data'!S11,
IF($D11=""Dolar"",'Original Data'!S11*GOOGLEFINANCE(""Currency:USDEUR""),
IF($D11=""Franco Suíço"",'Original Data'!S11*GOOGLEFINANCE(""Currency:CHFEUR""),
IF($D11=""Libra Esterlina"&amp;""", 'Original Data'!S11*GOOGLEFINANCE(""Currency:GBPEUR""),
IF($D11=""Iene"",'Original Data'!S11*GOOGLEFINANCE(""Currency:JPYEUR""),
IF($D11=""HKD"",'Original Data'!S11*GOOGLEFINANCE(""Currency:HKDEUR""),
IF($D11=""KRW"",'Original Data'!S11*GOOGLEFINANCE("&amp;"""Currency:KRWEUR""),""""))))))))"),4.75123)</f>
        <v>4.75123</v>
      </c>
      <c r="T11" s="8">
        <f>IFERROR(__xludf.DUMMYFUNCTION("IF('Original Data'!T11=""-"",""-"",
IF($D11=""Euro"",'Original Data'!T11,
IF($D11=""Dolar"",'Original Data'!T11*GOOGLEFINANCE(""Currency:USDEUR""),
IF($D11=""Franco Suíço"",'Original Data'!T11*GOOGLEFINANCE(""Currency:CHFEUR""),
IF($D11=""Libra Esterlina"&amp;""", 'Original Data'!T11*GOOGLEFINANCE(""Currency:GBPEUR""),
IF($D11=""Iene"",'Original Data'!T11*GOOGLEFINANCE(""Currency:JPYEUR""),
IF($D11=""HKD"",'Original Data'!T11*GOOGLEFINANCE(""Currency:HKDEUR""),
IF($D11=""KRW"",'Original Data'!T11*GOOGLEFINANCE("&amp;"""Currency:KRWEUR""),""""))))))))"),4.916649999999999)</f>
        <v>4.91665</v>
      </c>
      <c r="U11" s="8">
        <f>IFERROR(__xludf.DUMMYFUNCTION("IF('Original Data'!U11=""-"",""-"",
IF($D11=""Euro"",'Original Data'!U11,
IF($D11=""Dolar"",'Original Data'!U11*GOOGLEFINANCE(""Currency:USDEUR""),
IF($D11=""Franco Suíço"",'Original Data'!U11*GOOGLEFINANCE(""Currency:CHFEUR""),
IF($D11=""Libra Esterlina"&amp;""", 'Original Data'!U11*GOOGLEFINANCE(""Currency:GBPEUR""),
IF($D11=""Iene"",'Original Data'!U11*GOOGLEFINANCE(""Currency:JPYEUR""),
IF($D11=""HKD"",'Original Data'!U11*GOOGLEFINANCE(""Currency:HKDEUR""),
IF($D11=""KRW"",'Original Data'!U11*GOOGLEFINANCE("&amp;"""Currency:KRWEUR""),""""))))))))"),3.8781799999999995)</f>
        <v>3.87818</v>
      </c>
      <c r="V11" s="8">
        <f>IFERROR(__xludf.DUMMYFUNCTION("IF('Original Data'!V11=""-"",""-"",
IF($D11=""Euro"",'Original Data'!V11,
IF($D11=""Dolar"",'Original Data'!V11*GOOGLEFINANCE(""Currency:USDEUR""),
IF($D11=""Franco Suíço"",'Original Data'!V11*GOOGLEFINANCE(""Currency:CHFEUR""),
IF($D11=""Libra Esterlina"&amp;""", 'Original Data'!V11*GOOGLEFINANCE(""Currency:GBPEUR""),
IF($D11=""Iene"",'Original Data'!V11*GOOGLEFINANCE(""Currency:JPYEUR""),
IF($D11=""HKD"",'Original Data'!V11*GOOGLEFINANCE(""Currency:HKDEUR""),
IF($D11=""KRW"",'Original Data'!V11*GOOGLEFINANCE("&amp;"""Currency:KRWEUR""),""""))))))))"),6.837359999999999)</f>
        <v>6.83736</v>
      </c>
      <c r="W11" s="7" t="s">
        <v>55</v>
      </c>
      <c r="X11" s="7" t="s">
        <v>43</v>
      </c>
      <c r="Y11" s="7" t="s">
        <v>53</v>
      </c>
      <c r="Z11" s="7" t="s">
        <v>69</v>
      </c>
      <c r="AA11" s="7" t="s">
        <v>42</v>
      </c>
      <c r="AB11" s="7" t="s">
        <v>43</v>
      </c>
      <c r="AC11" s="7">
        <v>25.0</v>
      </c>
      <c r="AD11" s="7">
        <v>6.1</v>
      </c>
      <c r="AE11" s="7">
        <v>14.2</v>
      </c>
      <c r="AF11" s="7">
        <v>4.3</v>
      </c>
      <c r="AG11" s="7">
        <v>2.0</v>
      </c>
    </row>
    <row r="12">
      <c r="A12" s="16" t="s">
        <v>70</v>
      </c>
      <c r="B12" s="16" t="s">
        <v>71</v>
      </c>
      <c r="C12" s="16" t="s">
        <v>72</v>
      </c>
      <c r="D12" s="7" t="s">
        <v>33</v>
      </c>
      <c r="E12" s="8">
        <f>IFERROR(__xludf.DUMMYFUNCTION("IF($D12=""Euro"",'Original Data'!E12,
IF($D12=""Dolar"",'Original Data'!E12*GOOGLEFINANCE(""Currency:USDEUR""),
IF($D12=""Franco Suíço"",'Original Data'!E12*GOOGLEFINANCE(""Currency:CHFEUR""),
IF($D12=""Libra Esterlina"", 'Original Data'!E12*GOOGLEFINANCE"&amp;"(""Currency:GBPEUR""),
IF($D12=""Iene"",'Original Data'!E12*GOOGLEFINANCE(""Currency:JPYEUR""),
IF($D12=""HKD"",'Original Data'!E12*GOOGLEFINANCE(""Currency:HKDEUR""),
IF($D12=""KRW"",'Original Data'!E12*GOOGLEFINANCE(""Currency:KRWEUR""),"""")))))))"),4.6)</f>
        <v>4.6</v>
      </c>
      <c r="F12" s="8">
        <f>IFERROR(__xludf.DUMMYFUNCTION("IF($D12=""Euro"",'Original Data'!F12,
IF($D12=""Dolar"",'Original Data'!F12*GOOGLEFINANCE(""Currency:USDEUR""),
IF($D12=""Franco Suíço"",'Original Data'!F12*GOOGLEFINANCE(""Currency:CHFEUR""),
IF($D12=""Libra Esterlina"", 'Original Data'!F12*GOOGLEFINANCE"&amp;"(""Currency:GBPEUR""),
IF($D12=""Iene"",'Original Data'!F12*GOOGLEFINANCE(""Currency:JPYEUR""),
IF($D12=""HKD"",'Original Data'!F12*GOOGLEFINANCE(""Currency:HKDEUR""),
IF($D12=""KRW"",'Original Data'!F12*GOOGLEFINANCE(""Currency:KRWEUR""),"""")))))))"),64.8)</f>
        <v>64.8</v>
      </c>
      <c r="G12" s="8">
        <f>IFERROR(__xludf.DUMMYFUNCTION("IF($D12=""Euro"",'Original Data'!G12,
IF($D12=""Dolar"",'Original Data'!G12*GOOGLEFINANCE(""Currency:USDEUR""),
IF($D12=""Franco Suíço"",'Original Data'!G12*GOOGLEFINANCE(""Currency:CHFEUR""),
IF($D12=""Libra Esterlina"", 'Original Data'!G12*GOOGLEFINANCE"&amp;"(""Currency:GBPEUR""),
IF($D12=""Iene"",'Original Data'!G12*GOOGLEFINANCE(""Currency:JPYEUR""),
IF($D12=""HKD"",'Original Data'!G12*GOOGLEFINANCE(""Currency:HKDEUR""),
IF($D12=""KRW"",'Original Data'!G12*GOOGLEFINANCE(""Currency:KRWEUR""),"""")))))))"),1.93)</f>
        <v>1.93</v>
      </c>
      <c r="H12" s="17">
        <v>0.03867</v>
      </c>
      <c r="I12" s="7">
        <v>13.52</v>
      </c>
      <c r="J12" s="9">
        <v>0.0176</v>
      </c>
      <c r="K12" s="9">
        <v>0.1195</v>
      </c>
      <c r="L12" s="9">
        <v>0.0908</v>
      </c>
      <c r="M12" s="9">
        <v>0.1921</v>
      </c>
      <c r="N12" s="8">
        <f>IFERROR(__xludf.DUMMYFUNCTION("IF('Original Data'!N12=""-"",""-"",
IF($D12=""Euro"",'Original Data'!N12,
IF($D12=""Dolar"",'Original Data'!N12*GOOGLEFINANCE(""Currency:USDEUR""),
IF($D12=""Franco Suíço"",'Original Data'!N12*GOOGLEFINANCE(""Currency:CHFEUR""),
IF($D12=""Libra Esterlina"&amp;""", 'Original Data'!N12*GOOGLEFINANCE(""Currency:GBPEUR""),
IF($D12=""Iene"",'Original Data'!N12*GOOGLEFINANCE(""Currency:JPYEUR""),
IF($D12=""HKD"",'Original Data'!N12*GOOGLEFINANCE(""Currency:HKDEUR""),
IF($D12=""KRW"",'Original Data'!N12*GOOGLEFINANCE("&amp;"""Currency:KRWEUR""),""""))))))))"),4.88)</f>
        <v>4.88</v>
      </c>
      <c r="O12" s="8">
        <f>IFERROR(__xludf.DUMMYFUNCTION("IF('Original Data'!O12=""-"",""-"",
IF($D12=""Euro"",'Original Data'!O12,
IF($D12=""Dolar"",'Original Data'!O12*GOOGLEFINANCE(""Currency:USDEUR""),
IF($D12=""Franco Suíço"",'Original Data'!O12*GOOGLEFINANCE(""Currency:CHFEUR""),
IF($D12=""Libra Esterlina"&amp;""", 'Original Data'!O12*GOOGLEFINANCE(""Currency:GBPEUR""),
IF($D12=""Iene"",'Original Data'!O12*GOOGLEFINANCE(""Currency:JPYEUR""),
IF($D12=""HKD"",'Original Data'!O12*GOOGLEFINANCE(""Currency:HKDEUR""),
IF($D12=""KRW"",'Original Data'!O12*GOOGLEFINANCE("&amp;"""Currency:KRWEUR""),""""))))))))"),0.95543)</f>
        <v>0.95543</v>
      </c>
      <c r="P12" s="8">
        <f>IFERROR(__xludf.DUMMYFUNCTION("IF('Original Data'!P12=""-"",""-"",
IF($D12=""Euro"",'Original Data'!P12,
IF($D12=""Dolar"",'Original Data'!P12*GOOGLEFINANCE(""Currency:USDEUR""),
IF($D12=""Franco Suíço"",'Original Data'!P12*GOOGLEFINANCE(""Currency:CHFEUR""),
IF($D12=""Libra Esterlina"&amp;""", 'Original Data'!P12*GOOGLEFINANCE(""Currency:GBPEUR""),
IF($D12=""Iene"",'Original Data'!P12*GOOGLEFINANCE(""Currency:JPYEUR""),
IF($D12=""HKD"",'Original Data'!P12*GOOGLEFINANCE(""Currency:HKDEUR""),
IF($D12=""KRW"",'Original Data'!P12*GOOGLEFINANCE("&amp;"""Currency:KRWEUR""),""""))))))))"),1.01)</f>
        <v>1.01</v>
      </c>
      <c r="Q12" s="8">
        <f>IFERROR(__xludf.DUMMYFUNCTION("IF('Original Data'!Q12=""-"",""-"",
IF($D12=""Euro"",'Original Data'!Q12,
IF($D12=""Dolar"",'Original Data'!Q12*GOOGLEFINANCE(""Currency:USDEUR""),
IF($D12=""Franco Suíço"",'Original Data'!Q12*GOOGLEFINANCE(""Currency:CHFEUR""),
IF($D12=""Libra Esterlina"&amp;""", 'Original Data'!Q12*GOOGLEFINANCE(""Currency:GBPEUR""),
IF($D12=""Iene"",'Original Data'!Q12*GOOGLEFINANCE(""Currency:JPYEUR""),
IF($D12=""HKD"",'Original Data'!Q12*GOOGLEFINANCE(""Currency:HKDEUR""),
IF($D12=""KRW"",'Original Data'!Q12*GOOGLEFINANCE("&amp;"""Currency:KRWEUR""),""""))))))))"),0.98892)</f>
        <v>0.98892</v>
      </c>
      <c r="R12" s="8">
        <f>IFERROR(__xludf.DUMMYFUNCTION("IF('Original Data'!R12=""-"",""-"",
IF($D12=""Euro"",'Original Data'!R12,
IF($D12=""Dolar"",'Original Data'!R12*GOOGLEFINANCE(""Currency:USDEUR""),
IF($D12=""Franco Suíço"",'Original Data'!R12*GOOGLEFINANCE(""Currency:CHFEUR""),
IF($D12=""Libra Esterlina"&amp;""", 'Original Data'!R12*GOOGLEFINANCE(""Currency:GBPEUR""),
IF($D12=""Iene"",'Original Data'!R12*GOOGLEFINANCE(""Currency:JPYEUR""),
IF($D12=""HKD"",'Original Data'!R12*GOOGLEFINANCE(""Currency:HKDEUR""),
IF($D12=""KRW"",'Original Data'!R12*GOOGLEFINANCE("&amp;"""Currency:KRWEUR""),""""))))))))"),1.08)</f>
        <v>1.08</v>
      </c>
      <c r="S12" s="8">
        <f>IFERROR(__xludf.DUMMYFUNCTION("IF('Original Data'!S12=""-"",""-"",
IF($D12=""Euro"",'Original Data'!S12,
IF($D12=""Dolar"",'Original Data'!S12*GOOGLEFINANCE(""Currency:USDEUR""),
IF($D12=""Franco Suíço"",'Original Data'!S12*GOOGLEFINANCE(""Currency:CHFEUR""),
IF($D12=""Libra Esterlina"&amp;""", 'Original Data'!S12*GOOGLEFINANCE(""Currency:GBPEUR""),
IF($D12=""Iene"",'Original Data'!S12*GOOGLEFINANCE(""Currency:JPYEUR""),
IF($D12=""HKD"",'Original Data'!S12*GOOGLEFINANCE(""Currency:HKDEUR""),
IF($D12=""KRW"",'Original Data'!S12*GOOGLEFINANCE("&amp;"""Currency:KRWEUR""),""""))))))))"),0.21737)</f>
        <v>0.21737</v>
      </c>
      <c r="T12" s="8">
        <f>IFERROR(__xludf.DUMMYFUNCTION("IF('Original Data'!T12=""-"",""-"",
IF($D12=""Euro"",'Original Data'!T12,
IF($D12=""Dolar"",'Original Data'!T12*GOOGLEFINANCE(""Currency:USDEUR""),
IF($D12=""Franco Suíço"",'Original Data'!T12*GOOGLEFINANCE(""Currency:CHFEUR""),
IF($D12=""Libra Esterlina"&amp;""", 'Original Data'!T12*GOOGLEFINANCE(""Currency:GBPEUR""),
IF($D12=""Iene"",'Original Data'!T12*GOOGLEFINANCE(""Currency:JPYEUR""),
IF($D12=""HKD"",'Original Data'!T12*GOOGLEFINANCE(""Currency:HKDEUR""),
IF($D12=""KRW"",'Original Data'!T12*GOOGLEFINANCE("&amp;"""Currency:KRWEUR""),""""))))))))"),0.25832)</f>
        <v>0.25832</v>
      </c>
      <c r="U12" s="8">
        <f>IFERROR(__xludf.DUMMYFUNCTION("IF('Original Data'!U12=""-"",""-"",
IF($D12=""Euro"",'Original Data'!U12,
IF($D12=""Dolar"",'Original Data'!U12*GOOGLEFINANCE(""Currency:USDEUR""),
IF($D12=""Franco Suíço"",'Original Data'!U12*GOOGLEFINANCE(""Currency:CHFEUR""),
IF($D12=""Libra Esterlina"&amp;""", 'Original Data'!U12*GOOGLEFINANCE(""Currency:GBPEUR""),
IF($D12=""Iene"",'Original Data'!U12*GOOGLEFINANCE(""Currency:JPYEUR""),
IF($D12=""HKD"",'Original Data'!U12*GOOGLEFINANCE(""Currency:HKDEUR""),
IF($D12=""KRW"",'Original Data'!U12*GOOGLEFINANCE("&amp;"""Currency:KRWEUR""),""""))))))))"),0.25789)</f>
        <v>0.25789</v>
      </c>
      <c r="V12" s="8">
        <f>IFERROR(__xludf.DUMMYFUNCTION("IF('Original Data'!V12=""-"",""-"",
IF($D12=""Euro"",'Original Data'!V12,
IF($D12=""Dolar"",'Original Data'!V12*GOOGLEFINANCE(""Currency:USDEUR""),
IF($D12=""Franco Suíço"",'Original Data'!V12*GOOGLEFINANCE(""Currency:CHFEUR""),
IF($D12=""Libra Esterlina"&amp;""", 'Original Data'!V12*GOOGLEFINANCE(""Currency:GBPEUR""),
IF($D12=""Iene"",'Original Data'!V12*GOOGLEFINANCE(""Currency:JPYEUR""),
IF($D12=""HKD"",'Original Data'!V12*GOOGLEFINANCE(""Currency:HKDEUR""),
IF($D12=""KRW"",'Original Data'!V12*GOOGLEFINANCE("&amp;"""Currency:KRWEUR""),""""))))))))"),0.23076)</f>
        <v>0.23076</v>
      </c>
      <c r="W12" s="7" t="s">
        <v>59</v>
      </c>
      <c r="X12" s="7" t="s">
        <v>43</v>
      </c>
      <c r="Y12" s="7" t="s">
        <v>41</v>
      </c>
      <c r="Z12" s="7" t="s">
        <v>41</v>
      </c>
      <c r="AA12" s="7" t="s">
        <v>59</v>
      </c>
      <c r="AB12" s="7" t="s">
        <v>43</v>
      </c>
      <c r="AC12" s="7" t="s">
        <v>41</v>
      </c>
      <c r="AD12" s="7" t="s">
        <v>41</v>
      </c>
      <c r="AE12" s="7" t="s">
        <v>41</v>
      </c>
      <c r="AF12" s="7" t="s">
        <v>41</v>
      </c>
      <c r="AG12" s="7" t="s">
        <v>41</v>
      </c>
    </row>
    <row r="13">
      <c r="A13" s="16" t="s">
        <v>73</v>
      </c>
      <c r="B13" s="16" t="s">
        <v>74</v>
      </c>
      <c r="C13" s="16" t="s">
        <v>75</v>
      </c>
      <c r="D13" s="7" t="s">
        <v>33</v>
      </c>
      <c r="E13" s="8">
        <f>IFERROR(__xludf.DUMMYFUNCTION("IF($D13=""Euro"",'Original Data'!E13,
IF($D13=""Dolar"",'Original Data'!E13*GOOGLEFINANCE(""Currency:USDEUR""),
IF($D13=""Franco Suíço"",'Original Data'!E13*GOOGLEFINANCE(""Currency:CHFEUR""),
IF($D13=""Libra Esterlina"", 'Original Data'!E13*GOOGLEFINANCE"&amp;"(""Currency:GBPEUR""),
IF($D13=""Iene"",'Original Data'!E13*GOOGLEFINANCE(""Currency:JPYEUR""),
IF($D13=""HKD"",'Original Data'!E13*GOOGLEFINANCE(""Currency:HKDEUR""),
IF($D13=""KRW"",'Original Data'!E13*GOOGLEFINANCE(""Currency:KRWEUR""),"""")))))))"),26.44)</f>
        <v>26.44</v>
      </c>
      <c r="F13" s="8">
        <f>IFERROR(__xludf.DUMMYFUNCTION("IF($D13=""Euro"",'Original Data'!F13,
IF($D13=""Dolar"",'Original Data'!F13*GOOGLEFINANCE(""Currency:USDEUR""),
IF($D13=""Franco Suíço"",'Original Data'!F13*GOOGLEFINANCE(""Currency:CHFEUR""),
IF($D13=""Libra Esterlina"", 'Original Data'!F13*GOOGLEFINANCE"&amp;"(""Currency:GBPEUR""),
IF($D13=""Iene"",'Original Data'!F13*GOOGLEFINANCE(""Currency:JPYEUR""),
IF($D13=""HKD"",'Original Data'!F13*GOOGLEFINANCE(""Currency:HKDEUR""),
IF($D13=""KRW"",'Original Data'!F13*GOOGLEFINANCE(""Currency:KRWEUR""),"""")))))))"),24.14)</f>
        <v>24.14</v>
      </c>
      <c r="G13" s="8">
        <f>IFERROR(__xludf.DUMMYFUNCTION("IF($D13=""Euro"",'Original Data'!G13,
IF($D13=""Dolar"",'Original Data'!G13*GOOGLEFINANCE(""Currency:USDEUR""),
IF($D13=""Franco Suíço"",'Original Data'!G13*GOOGLEFINANCE(""Currency:CHFEUR""),
IF($D13=""Libra Esterlina"", 'Original Data'!G13*GOOGLEFINANCE"&amp;"(""Currency:GBPEUR""),
IF($D13=""Iene"",'Original Data'!G13*GOOGLEFINANCE(""Currency:JPYEUR""),
IF($D13=""HKD"",'Original Data'!G13*GOOGLEFINANCE(""Currency:HKDEUR""),
IF($D13=""KRW"",'Original Data'!G13*GOOGLEFINANCE(""Currency:KRWEUR""),"""")))))))"),189.846)</f>
        <v>189.846</v>
      </c>
      <c r="H13" s="17">
        <v>15.264</v>
      </c>
      <c r="I13" s="7">
        <v>10.72</v>
      </c>
      <c r="J13" s="9">
        <v>0.0321</v>
      </c>
      <c r="K13" s="9">
        <v>0.0246</v>
      </c>
      <c r="L13" s="9">
        <v>0.0197</v>
      </c>
      <c r="M13" s="9">
        <v>0.0401</v>
      </c>
      <c r="N13" s="8">
        <f>IFERROR(__xludf.DUMMYFUNCTION("'Original Data'!N13*GOOGLEFINANCE(""Currency:USDEUR"")"),2.14127)</f>
        <v>2.14127</v>
      </c>
      <c r="O13" s="8">
        <f>IFERROR(__xludf.DUMMYFUNCTION("'Original Data'!O13*GOOGLEFINANCE(""Currency:USDEUR"")"),356.920301)</f>
        <v>356.920301</v>
      </c>
      <c r="P13" s="8">
        <f>IFERROR(__xludf.DUMMYFUNCTION("'Original Data'!P13*GOOGLEFINANCE(""Currency:USDEUR"")"),316.941963)</f>
        <v>316.941963</v>
      </c>
      <c r="Q13" s="8">
        <f>IFERROR(__xludf.DUMMYFUNCTION("'Original Data'!Q13*GOOGLEFINANCE(""Currency:USDEUR"")"),165.919017)</f>
        <v>165.919017</v>
      </c>
      <c r="R13" s="8">
        <f>IFERROR(__xludf.DUMMYFUNCTION("'Original Data'!R13*GOOGLEFINANCE(""Currency:USDEUR"")"),240.32217599999998)</f>
        <v>240.322176</v>
      </c>
      <c r="S13" s="8">
        <f>IFERROR(__xludf.DUMMYFUNCTION("'Original Data'!S13*GOOGLEFINANCE(""Currency:USDEUR"")"),33.780602)</f>
        <v>33.780602</v>
      </c>
      <c r="T13" s="8">
        <f>IFERROR(__xludf.DUMMYFUNCTION("'Original Data'!T13*GOOGLEFINANCE(""Currency:USDEUR"")"),19.709792999999998)</f>
        <v>19.709793</v>
      </c>
      <c r="U13" s="8">
        <f>IFERROR(__xludf.DUMMYFUNCTION("'Original Data'!U13*GOOGLEFINANCE(""Currency:USDEUR"")"),9.886601999999998)</f>
        <v>9.886602</v>
      </c>
      <c r="V13" s="8">
        <f>IFERROR(__xludf.DUMMYFUNCTION("'Original Data'!V13*GOOGLEFINANCE(""Currency:USDEUR"")"),29.163546)</f>
        <v>29.163546</v>
      </c>
      <c r="W13" s="7" t="s">
        <v>43</v>
      </c>
      <c r="X13" s="7" t="s">
        <v>43</v>
      </c>
      <c r="Y13" s="7" t="s">
        <v>59</v>
      </c>
      <c r="Z13" s="7" t="s">
        <v>59</v>
      </c>
      <c r="AA13" s="7" t="s">
        <v>59</v>
      </c>
      <c r="AB13" s="7" t="s">
        <v>59</v>
      </c>
      <c r="AC13" s="7">
        <v>35.0</v>
      </c>
      <c r="AD13" s="7">
        <v>19.4</v>
      </c>
      <c r="AE13" s="7">
        <v>8.2</v>
      </c>
      <c r="AF13" s="7">
        <v>7.9</v>
      </c>
      <c r="AG13" s="7">
        <v>4.0</v>
      </c>
    </row>
    <row r="14">
      <c r="A14" s="16" t="s">
        <v>76</v>
      </c>
      <c r="B14" s="16" t="s">
        <v>77</v>
      </c>
      <c r="C14" s="16" t="s">
        <v>78</v>
      </c>
      <c r="D14" s="7" t="s">
        <v>79</v>
      </c>
      <c r="E14" s="8">
        <f>IFERROR(__xludf.DUMMYFUNCTION("IF($D14=""Euro"",'Original Data'!E14,
IF($D14=""Dolar"",'Original Data'!E14*GOOGLEFINANCE(""Currency:USDEUR""),
IF($D14=""Franco Suíço"",'Original Data'!E14*GOOGLEFINANCE(""Currency:CHFEUR""),
IF($D14=""Libra Esterlina"", 'Original Data'!E14*GOOGLEFINANCE"&amp;"(""Currency:GBPEUR""),
IF($D14=""Iene"",'Original Data'!E14*GOOGLEFINANCE(""Currency:JPYEUR""),
IF($D14=""HKD"",'Original Data'!E14*GOOGLEFINANCE(""Currency:HKDEUR""),
IF($D14=""KRW"",'Original Data'!E14*GOOGLEFINANCE(""Currency:KRWEUR""),"""")))))))"),29.42868980541)</f>
        <v>29.42868981</v>
      </c>
      <c r="F14" s="8">
        <f>IFERROR(__xludf.DUMMYFUNCTION("IF($D14=""Euro"",'Original Data'!F14,
IF($D14=""Dolar"",'Original Data'!F14*GOOGLEFINANCE(""Currency:USDEUR""),
IF($D14=""Franco Suíço"",'Original Data'!F14*GOOGLEFINANCE(""Currency:CHFEUR""),
IF($D14=""Libra Esterlina"", 'Original Data'!F14*GOOGLEFINANCE"&amp;"(""Currency:GBPEUR""),
IF($D14=""Iene"",'Original Data'!F14*GOOGLEFINANCE(""Currency:JPYEUR""),
IF($D14=""HKD"",'Original Data'!F14*GOOGLEFINANCE(""Currency:HKDEUR""),
IF($D14=""KRW"",'Original Data'!F14*GOOGLEFINANCE(""Currency:KRWEUR""),"""")))))))"),45.43687379518)</f>
        <v>45.4368738</v>
      </c>
      <c r="G14" s="8">
        <f>IFERROR(__xludf.DUMMYFUNCTION("IF($D14=""Euro"",'Original Data'!G14,
IF($D14=""Dolar"",'Original Data'!G14*GOOGLEFINANCE(""Currency:USDEUR""),
IF($D14=""Franco Suíço"",'Original Data'!G14*GOOGLEFINANCE(""Currency:CHFEUR""),
IF($D14=""Libra Esterlina"", 'Original Data'!G14*GOOGLEFINANCE"&amp;"(""Currency:GBPEUR""),
IF($D14=""Iene"",'Original Data'!G14*GOOGLEFINANCE(""Currency:JPYEUR""),
IF($D14=""HKD"",'Original Data'!G14*GOOGLEFINANCE(""Currency:HKDEUR""),
IF($D14=""KRW"",'Original Data'!G14*GOOGLEFINANCE(""Currency:KRWEUR""),"""")))))))"),27.98234497044)</f>
        <v>27.98234497</v>
      </c>
      <c r="H14" s="17">
        <v>2.5</v>
      </c>
      <c r="I14" s="7">
        <v>12.31</v>
      </c>
      <c r="J14" s="7" t="s">
        <v>51</v>
      </c>
      <c r="K14" s="9">
        <v>0.0308</v>
      </c>
      <c r="L14" s="9">
        <v>0.024</v>
      </c>
      <c r="M14" s="9">
        <v>0.0434</v>
      </c>
      <c r="N14" s="8">
        <f>IFERROR(__xludf.DUMMYFUNCTION("IF('Original Data'!N14=""-"",""-"",
IF($D14=""Euro"",'Original Data'!N14,
IF($D14=""Dolar"",'Original Data'!N14*GOOGLEFINANCE(""Currency:USDEUR""),
IF($D14=""Franco Suíço"",'Original Data'!N14*GOOGLEFINANCE(""Currency:CHFEUR""),
IF($D14=""Libra Esterlina"&amp;""", 'Original Data'!N14*GOOGLEFINANCE(""Currency:GBPEUR""),
IF($D14=""Iene"",'Original Data'!N14*GOOGLEFINANCE(""Currency:JPYEUR""),
IF($D14=""HKD"",'Original Data'!N14*GOOGLEFINANCE(""Currency:HKDEUR""),
IF($D14=""KRW"",'Original Data'!N14*GOOGLEFINANCE("&amp;"""Currency:KRWEUR""),""""))))))))"),3.66997703023)</f>
        <v>3.66997703</v>
      </c>
      <c r="O14" s="8">
        <f>IFERROR(__xludf.DUMMYFUNCTION("IF('Original Data'!O14=""-"",""-"",
IF($D14=""Euro"",'Original Data'!O14,
IF($D14=""Dolar"",'Original Data'!O14*GOOGLEFINANCE(""Currency:USDEUR""),
IF($D14=""Franco Suíço"",'Original Data'!O14*GOOGLEFINANCE(""Currency:CHFEUR""),
IF($D14=""Libra Esterlina"&amp;""", 'Original Data'!O14*GOOGLEFINANCE(""Currency:GBPEUR""),
IF($D14=""Iene"",'Original Data'!O14*GOOGLEFINANCE(""Currency:JPYEUR""),
IF($D14=""HKD"",'Original Data'!O14*GOOGLEFINANCE(""Currency:HKDEUR""),
IF($D14=""KRW"",'Original Data'!O14*GOOGLEFINANCE("&amp;"""Currency:KRWEUR""),""""))))))))"),27.027954160969998)</f>
        <v>27.02795416</v>
      </c>
      <c r="P14" s="8">
        <f>IFERROR(__xludf.DUMMYFUNCTION("IF('Original Data'!P14=""-"",""-"",
IF($D14=""Euro"",'Original Data'!P14,
IF($D14=""Dolar"",'Original Data'!P14*GOOGLEFINANCE(""Currency:USDEUR""),
IF($D14=""Franco Suíço"",'Original Data'!P14*GOOGLEFINANCE(""Currency:CHFEUR""),
IF($D14=""Libra Esterlina"&amp;""", 'Original Data'!P14*GOOGLEFINANCE(""Currency:GBPEUR""),
IF($D14=""Iene"",'Original Data'!P14*GOOGLEFINANCE(""Currency:JPYEUR""),
IF($D14=""HKD"",'Original Data'!P14*GOOGLEFINANCE(""Currency:HKDEUR""),
IF($D14=""KRW"",'Original Data'!P14*GOOGLEFINANCE("&amp;"""Currency:KRWEUR""),""""))))))))"),26.290023122719997)</f>
        <v>26.29002312</v>
      </c>
      <c r="Q14" s="8">
        <f>IFERROR(__xludf.DUMMYFUNCTION("IF('Original Data'!Q14=""-"",""-"",
IF($D14=""Euro"",'Original Data'!Q14,
IF($D14=""Dolar"",'Original Data'!Q14*GOOGLEFINANCE(""Currency:USDEUR""),
IF($D14=""Franco Suíço"",'Original Data'!Q14*GOOGLEFINANCE(""Currency:CHFEUR""),
IF($D14=""Libra Esterlina"&amp;""", 'Original Data'!Q14*GOOGLEFINANCE(""Currency:GBPEUR""),
IF($D14=""Iene"",'Original Data'!Q14*GOOGLEFINANCE(""Currency:JPYEUR""),
IF($D14=""HKD"",'Original Data'!Q14*GOOGLEFINANCE(""Currency:HKDEUR""),
IF($D14=""KRW"",'Original Data'!Q14*GOOGLEFINANCE("&amp;"""Currency:KRWEUR""),""""))))))))"),22.76763230014)</f>
        <v>22.7676323</v>
      </c>
      <c r="R14" s="8">
        <f>IFERROR(__xludf.DUMMYFUNCTION("IF('Original Data'!R14=""-"",""-"",
IF($D14=""Euro"",'Original Data'!R14,
IF($D14=""Dolar"",'Original Data'!R14*GOOGLEFINANCE(""Currency:USDEUR""),
IF($D14=""Franco Suíço"",'Original Data'!R14*GOOGLEFINANCE(""Currency:CHFEUR""),
IF($D14=""Libra Esterlina"&amp;""", 'Original Data'!R14*GOOGLEFINANCE(""Currency:GBPEUR""),
IF($D14=""Iene"",'Original Data'!R14*GOOGLEFINANCE(""Currency:JPYEUR""),
IF($D14=""HKD"",'Original Data'!R14*GOOGLEFINANCE(""Currency:HKDEUR""),
IF($D14=""KRW"",'Original Data'!R14*GOOGLEFINANCE("&amp;"""Currency:KRWEUR""),""""))))))))"),26.39825300833)</f>
        <v>26.39825301</v>
      </c>
      <c r="S14" s="8">
        <f>IFERROR(__xludf.DUMMYFUNCTION("IF('Original Data'!S14=""-"",""-"",
IF($D14=""Euro"",'Original Data'!S14,
IF($D14=""Dolar"",'Original Data'!S14*GOOGLEFINANCE(""Currency:USDEUR""),
IF($D14=""Franco Suíço"",'Original Data'!S14*GOOGLEFINANCE(""Currency:CHFEUR""),
IF($D14=""Libra Esterlina"&amp;""", 'Original Data'!S14*GOOGLEFINANCE(""Currency:GBPEUR""),
IF($D14=""Iene"",'Original Data'!S14*GOOGLEFINANCE(""Currency:JPYEUR""),
IF($D14=""HKD"",'Original Data'!S14*GOOGLEFINANCE(""Currency:HKDEUR""),
IF($D14=""KRW"",'Original Data'!S14*GOOGLEFINANCE("&amp;"""Currency:KRWEUR""),""""))))))))"),5.4114942805)</f>
        <v>5.411494281</v>
      </c>
      <c r="T14" s="8">
        <f>IFERROR(__xludf.DUMMYFUNCTION("IF('Original Data'!T14=""-"",""-"",
IF($D14=""Euro"",'Original Data'!T14,
IF($D14=""Dolar"",'Original Data'!T14*GOOGLEFINANCE(""Currency:USDEUR""),
IF($D14=""Franco Suíço"",'Original Data'!T14*GOOGLEFINANCE(""Currency:CHFEUR""),
IF($D14=""Libra Esterlina"&amp;""", 'Original Data'!T14*GOOGLEFINANCE(""Currency:GBPEUR""),
IF($D14=""Iene"",'Original Data'!T14*GOOGLEFINANCE(""Currency:JPYEUR""),
IF($D14=""HKD"",'Original Data'!T14*GOOGLEFINANCE(""Currency:HKDEUR""),
IF($D14=""KRW"",'Original Data'!T14*GOOGLEFINANCE("&amp;"""Currency:KRWEUR""),""""))))))))"),6.1002299162)</f>
        <v>6.100229916</v>
      </c>
      <c r="U14" s="8">
        <f>IFERROR(__xludf.DUMMYFUNCTION("IF('Original Data'!U14=""-"",""-"",
IF($D14=""Euro"",'Original Data'!U14,
IF($D14=""Dolar"",'Original Data'!U14*GOOGLEFINANCE(""Currency:USDEUR""),
IF($D14=""Franco Suíço"",'Original Data'!U14*GOOGLEFINANCE(""Currency:CHFEUR""),
IF($D14=""Libra Esterlina"&amp;""", 'Original Data'!U14*GOOGLEFINANCE(""Currency:GBPEUR""),
IF($D14=""Iene"",'Original Data'!U14*GOOGLEFINANCE(""Currency:JPYEUR""),
IF($D14=""HKD"",'Original Data'!U14*GOOGLEFINANCE(""Currency:HKDEUR""),
IF($D14=""KRW"",'Original Data'!U14*GOOGLEFINANCE("&amp;"""Currency:KRWEUR""),""""))))))))"),5.3918161194800005)</f>
        <v>5.391816119</v>
      </c>
      <c r="V14" s="8">
        <f>IFERROR(__xludf.DUMMYFUNCTION("IF('Original Data'!V14=""-"",""-"",
IF($D14=""Euro"",'Original Data'!V14,
IF($D14=""Dolar"",'Original Data'!V14*GOOGLEFINANCE(""Currency:USDEUR""),
IF($D14=""Franco Suíço"",'Original Data'!V14*GOOGLEFINANCE(""Currency:CHFEUR""),
IF($D14=""Libra Esterlina"&amp;""", 'Original Data'!V14*GOOGLEFINANCE(""Currency:GBPEUR""),
IF($D14=""Iene"",'Original Data'!V14*GOOGLEFINANCE(""Currency:JPYEUR""),
IF($D14=""HKD"",'Original Data'!V14*GOOGLEFINANCE(""Currency:HKDEUR""),
IF($D14=""KRW"",'Original Data'!V14*GOOGLEFINANCE("&amp;"""Currency:KRWEUR""),""""))))))))"),6.31668968742)</f>
        <v>6.316689687</v>
      </c>
      <c r="W14" s="7" t="s">
        <v>34</v>
      </c>
      <c r="X14" s="7" t="s">
        <v>34</v>
      </c>
      <c r="Y14" s="7" t="s">
        <v>41</v>
      </c>
      <c r="Z14" s="7" t="s">
        <v>41</v>
      </c>
      <c r="AA14" s="7" t="s">
        <v>35</v>
      </c>
      <c r="AB14" s="7" t="s">
        <v>35</v>
      </c>
      <c r="AC14" s="7">
        <v>21.0</v>
      </c>
      <c r="AD14" s="7">
        <v>11.9</v>
      </c>
      <c r="AE14" s="7">
        <v>3.0</v>
      </c>
      <c r="AF14" s="7">
        <v>6.3</v>
      </c>
      <c r="AG14" s="7">
        <v>3.0</v>
      </c>
    </row>
    <row r="15">
      <c r="A15" s="16" t="s">
        <v>80</v>
      </c>
      <c r="B15" s="16" t="s">
        <v>81</v>
      </c>
      <c r="C15" s="16" t="s">
        <v>82</v>
      </c>
      <c r="D15" s="7" t="s">
        <v>33</v>
      </c>
      <c r="E15" s="8">
        <f>IFERROR(__xludf.DUMMYFUNCTION("IF($D15=""Euro"",'Original Data'!E15,
IF($D15=""Dolar"",'Original Data'!E15*GOOGLEFINANCE(""Currency:USDEUR""),
IF($D15=""Franco Suíço"",'Original Data'!E15*GOOGLEFINANCE(""Currency:CHFEUR""),
IF($D15=""Libra Esterlina"", 'Original Data'!E15*GOOGLEFINANCE"&amp;"(""Currency:GBPEUR""),
IF($D15=""Iene"",'Original Data'!E15*GOOGLEFINANCE(""Currency:JPYEUR""),
IF($D15=""HKD"",'Original Data'!E15*GOOGLEFINANCE(""Currency:HKDEUR""),
IF($D15=""KRW"",'Original Data'!E15*GOOGLEFINANCE(""Currency:KRWEUR""),"""")))))))"),31.34)</f>
        <v>31.34</v>
      </c>
      <c r="F15" s="8">
        <f>IFERROR(__xludf.DUMMYFUNCTION("IF($D15=""Euro"",'Original Data'!F15,
IF($D15=""Dolar"",'Original Data'!F15*GOOGLEFINANCE(""Currency:USDEUR""),
IF($D15=""Franco Suíço"",'Original Data'!F15*GOOGLEFINANCE(""Currency:CHFEUR""),
IF($D15=""Libra Esterlina"", 'Original Data'!F15*GOOGLEFINANCE"&amp;"(""Currency:GBPEUR""),
IF($D15=""Iene"",'Original Data'!F15*GOOGLEFINANCE(""Currency:JPYEUR""),
IF($D15=""HKD"",'Original Data'!F15*GOOGLEFINANCE(""Currency:HKDEUR""),
IF($D15=""KRW"",'Original Data'!F15*GOOGLEFINANCE(""Currency:KRWEUR""),"""")))))))"),123.25)</f>
        <v>123.25</v>
      </c>
      <c r="G15" s="8">
        <f>IFERROR(__xludf.DUMMYFUNCTION("IF($D15=""Euro"",'Original Data'!G15,
IF($D15=""Dolar"",'Original Data'!G15*GOOGLEFINANCE(""Currency:USDEUR""),
IF($D15=""Franco Suíço"",'Original Data'!G15*GOOGLEFINANCE(""Currency:CHFEUR""),
IF($D15=""Libra Esterlina"", 'Original Data'!G15*GOOGLEFINANCE"&amp;"(""Currency:GBPEUR""),
IF($D15=""Iene"",'Original Data'!G15*GOOGLEFINANCE(""Currency:JPYEUR""),
IF($D15=""HKD"",'Original Data'!G15*GOOGLEFINANCE(""Currency:HKDEUR""),
IF($D15=""KRW"",'Original Data'!G15*GOOGLEFINANCE(""Currency:KRWEUR""),"""")))))))"),21.97)</f>
        <v>21.97</v>
      </c>
      <c r="H15" s="17">
        <v>0.058393</v>
      </c>
      <c r="I15" s="7">
        <v>12.4</v>
      </c>
      <c r="J15" s="9">
        <v>0.0365</v>
      </c>
      <c r="K15" s="9">
        <v>0.0664</v>
      </c>
      <c r="L15" s="9">
        <v>0.0508</v>
      </c>
      <c r="M15" s="9">
        <v>0.1219</v>
      </c>
      <c r="N15" s="8">
        <f>IFERROR(__xludf.DUMMYFUNCTION("IF('Original Data'!N15=""-"",""-"",
IF($D15=""Euro"",'Original Data'!N15,
IF($D15=""Dolar"",'Original Data'!N15*GOOGLEFINANCE(""Currency:USDEUR""),
IF($D15=""Franco Suíço"",'Original Data'!N15*GOOGLEFINANCE(""Currency:CHFEUR""),
IF($D15=""Libra Esterlina"&amp;""", 'Original Data'!N15*GOOGLEFINANCE(""Currency:GBPEUR""),
IF($D15=""Iene"",'Original Data'!N15*GOOGLEFINANCE(""Currency:JPYEUR""),
IF($D15=""HKD"",'Original Data'!N15*GOOGLEFINANCE(""Currency:HKDEUR""),
IF($D15=""KRW"",'Original Data'!N15*GOOGLEFINANCE("&amp;"""Currency:KRWEUR""),""""))))))))"),10.31)</f>
        <v>10.31</v>
      </c>
      <c r="O15" s="8">
        <f>IFERROR(__xludf.DUMMYFUNCTION("IF('Original Data'!O15=""-"",""-"",
IF($D15=""Euro"",'Original Data'!O15,
IF($D15=""Dolar"",'Original Data'!O15*GOOGLEFINANCE(""Currency:USDEUR""),
IF($D15=""Franco Suíço"",'Original Data'!O15*GOOGLEFINANCE(""Currency:CHFEUR""),
IF($D15=""Libra Esterlina"&amp;""", 'Original Data'!O15*GOOGLEFINANCE(""Currency:GBPEUR""),
IF($D15=""Iene"",'Original Data'!O15*GOOGLEFINANCE(""Currency:JPYEUR""),
IF($D15=""HKD"",'Original Data'!O15*GOOGLEFINANCE(""Currency:HKDEUR""),
IF($D15=""KRW"",'Original Data'!O15*GOOGLEFINANCE("&amp;"""Currency:KRWEUR""),""""))))))))"),22.03)</f>
        <v>22.03</v>
      </c>
      <c r="P15" s="8">
        <f>IFERROR(__xludf.DUMMYFUNCTION("IF('Original Data'!P15=""-"",""-"",
IF($D15=""Euro"",'Original Data'!P15,
IF($D15=""Dolar"",'Original Data'!P15*GOOGLEFINANCE(""Currency:USDEUR""),
IF($D15=""Franco Suíço"",'Original Data'!P15*GOOGLEFINANCE(""Currency:CHFEUR""),
IF($D15=""Libra Esterlina"&amp;""", 'Original Data'!P15*GOOGLEFINANCE(""Currency:GBPEUR""),
IF($D15=""Iene"",'Original Data'!P15*GOOGLEFINANCE(""Currency:JPYEUR""),
IF($D15=""HKD"",'Original Data'!P15*GOOGLEFINANCE(""Currency:HKDEUR""),
IF($D15=""KRW"",'Original Data'!P15*GOOGLEFINANCE("&amp;"""Currency:KRWEUR""),""""))))))))"),24.14)</f>
        <v>24.14</v>
      </c>
      <c r="Q15" s="8">
        <f>IFERROR(__xludf.DUMMYFUNCTION("IF('Original Data'!Q15=""-"",""-"",
IF($D15=""Euro"",'Original Data'!Q15,
IF($D15=""Dolar"",'Original Data'!Q15*GOOGLEFINANCE(""Currency:USDEUR""),
IF($D15=""Franco Suíço"",'Original Data'!Q15*GOOGLEFINANCE(""Currency:CHFEUR""),
IF($D15=""Libra Esterlina"&amp;""", 'Original Data'!Q15*GOOGLEFINANCE(""Currency:GBPEUR""),
IF($D15=""Iene"",'Original Data'!Q15*GOOGLEFINANCE(""Currency:JPYEUR""),
IF($D15=""HKD"",'Original Data'!Q15*GOOGLEFINANCE(""Currency:HKDEUR""),
IF($D15=""KRW"",'Original Data'!Q15*GOOGLEFINANCE("&amp;"""Currency:KRWEUR""),""""))))))))"),20.47)</f>
        <v>20.47</v>
      </c>
      <c r="R15" s="8">
        <f>IFERROR(__xludf.DUMMYFUNCTION("IF('Original Data'!R15=""-"",""-"",
IF($D15=""Euro"",'Original Data'!R15,
IF($D15=""Dolar"",'Original Data'!R15*GOOGLEFINANCE(""Currency:USDEUR""),
IF($D15=""Franco Suíço"",'Original Data'!R15*GOOGLEFINANCE(""Currency:CHFEUR""),
IF($D15=""Libra Esterlina"&amp;""", 'Original Data'!R15*GOOGLEFINANCE(""Currency:GBPEUR""),
IF($D15=""Iene"",'Original Data'!R15*GOOGLEFINANCE(""Currency:JPYEUR""),
IF($D15=""HKD"",'Original Data'!R15*GOOGLEFINANCE(""Currency:HKDEUR""),
IF($D15=""KRW"",'Original Data'!R15*GOOGLEFINANCE("&amp;"""Currency:KRWEUR""),""""))))))))"),23.8)</f>
        <v>23.8</v>
      </c>
      <c r="S15" s="8">
        <f>IFERROR(__xludf.DUMMYFUNCTION("IF('Original Data'!S15=""-"",""-"",
IF($D15=""Euro"",'Original Data'!S15,
IF($D15=""Dolar"",'Original Data'!S15*GOOGLEFINANCE(""Currency:USDEUR""),
IF($D15=""Franco Suíço"",'Original Data'!S15*GOOGLEFINANCE(""Currency:CHFEUR""),
IF($D15=""Libra Esterlina"&amp;""", 'Original Data'!S15*GOOGLEFINANCE(""Currency:GBPEUR""),
IF($D15=""Iene"",'Original Data'!S15*GOOGLEFINANCE(""Currency:JPYEUR""),
IF($D15=""HKD"",'Original Data'!S15*GOOGLEFINANCE(""Currency:HKDEUR""),
IF($D15=""KRW"",'Original Data'!S15*GOOGLEFINANCE("&amp;"""Currency:KRWEUR""),""""))))))))"),4.12)</f>
        <v>4.12</v>
      </c>
      <c r="T15" s="8">
        <f>IFERROR(__xludf.DUMMYFUNCTION("IF('Original Data'!T15=""-"",""-"",
IF($D15=""Euro"",'Original Data'!T15,
IF($D15=""Dolar"",'Original Data'!T15*GOOGLEFINANCE(""Currency:USDEUR""),
IF($D15=""Franco Suíço"",'Original Data'!T15*GOOGLEFINANCE(""Currency:CHFEUR""),
IF($D15=""Libra Esterlina"&amp;""", 'Original Data'!T15*GOOGLEFINANCE(""Currency:GBPEUR""),
IF($D15=""Iene"",'Original Data'!T15*GOOGLEFINANCE(""Currency:JPYEUR""),
IF($D15=""HKD"",'Original Data'!T15*GOOGLEFINANCE(""Currency:HKDEUR""),
IF($D15=""KRW"",'Original Data'!T15*GOOGLEFINANCE("&amp;"""Currency:KRWEUR""),""""))))))))"),4.76)</f>
        <v>4.76</v>
      </c>
      <c r="U15" s="8">
        <f>IFERROR(__xludf.DUMMYFUNCTION("IF('Original Data'!U15=""-"",""-"",
IF($D15=""Euro"",'Original Data'!U15,
IF($D15=""Dolar"",'Original Data'!U15*GOOGLEFINANCE(""Currency:USDEUR""),
IF($D15=""Franco Suíço"",'Original Data'!U15*GOOGLEFINANCE(""Currency:CHFEUR""),
IF($D15=""Libra Esterlina"&amp;""", 'Original Data'!U15*GOOGLEFINANCE(""Currency:GBPEUR""),
IF($D15=""Iene"",'Original Data'!U15*GOOGLEFINANCE(""Currency:JPYEUR""),
IF($D15=""HKD"",'Original Data'!U15*GOOGLEFINANCE(""Currency:HKDEUR""),
IF($D15=""KRW"",'Original Data'!U15*GOOGLEFINANCE("&amp;"""Currency:KRWEUR""),""""))))))))"),3.73)</f>
        <v>3.73</v>
      </c>
      <c r="V15" s="8" t="str">
        <f>IFERROR(__xludf.DUMMYFUNCTION("IF('Original Data'!V15=""-"",""-"",
IF($D15=""Euro"",'Original Data'!V15,
IF($D15=""Dolar"",'Original Data'!V15*GOOGLEFINANCE(""Currency:USDEUR""),
IF($D15=""Franco Suíço"",'Original Data'!V15*GOOGLEFINANCE(""Currency:CHFEUR""),
IF($D15=""Libra Esterlina"&amp;""", 'Original Data'!V15*GOOGLEFINANCE(""Currency:GBPEUR""),
IF($D15=""Iene"",'Original Data'!V15*GOOGLEFINANCE(""Currency:JPYEUR""),
IF($D15=""HKD"",'Original Data'!V15*GOOGLEFINANCE(""Currency:HKDEUR""),
IF($D15=""KRW"",'Original Data'!V15*GOOGLEFINANCE("&amp;"""Currency:KRWEUR""),""""))))))))"),"-")</f>
        <v>-</v>
      </c>
      <c r="W15" s="7" t="s">
        <v>35</v>
      </c>
      <c r="X15" s="7" t="s">
        <v>34</v>
      </c>
      <c r="Y15" s="7" t="s">
        <v>83</v>
      </c>
      <c r="Z15" s="7" t="s">
        <v>44</v>
      </c>
      <c r="AA15" s="7" t="s">
        <v>35</v>
      </c>
      <c r="AB15" s="7" t="s">
        <v>43</v>
      </c>
      <c r="AC15" s="7">
        <v>13.0</v>
      </c>
      <c r="AD15" s="7">
        <v>3.0</v>
      </c>
      <c r="AE15" s="7">
        <v>4.2</v>
      </c>
      <c r="AF15" s="7">
        <v>5.4</v>
      </c>
      <c r="AG15" s="7">
        <v>2.0</v>
      </c>
    </row>
    <row r="16">
      <c r="A16" s="16" t="s">
        <v>84</v>
      </c>
      <c r="B16" s="16" t="s">
        <v>85</v>
      </c>
      <c r="C16" s="16" t="s">
        <v>86</v>
      </c>
      <c r="D16" s="7" t="s">
        <v>33</v>
      </c>
      <c r="E16" s="8">
        <f>IFERROR(__xludf.DUMMYFUNCTION("IF($D16=""Euro"",'Original Data'!E16,
IF($D16=""Dolar"",'Original Data'!E16*GOOGLEFINANCE(""Currency:USDEUR""),
IF($D16=""Franco Suíço"",'Original Data'!E16*GOOGLEFINANCE(""Currency:CHFEUR""),
IF($D16=""Libra Esterlina"", 'Original Data'!E16*GOOGLEFINANCE"&amp;"(""Currency:GBPEUR""),
IF($D16=""Iene"",'Original Data'!E16*GOOGLEFINANCE(""Currency:JPYEUR""),
IF($D16=""HKD"",'Original Data'!E16*GOOGLEFINANCE(""Currency:HKDEUR""),
IF($D16=""KRW"",'Original Data'!E16*GOOGLEFINANCE(""Currency:KRWEUR""),"""")))))))"),1.97)</f>
        <v>1.97</v>
      </c>
      <c r="F16" s="8">
        <f>IFERROR(__xludf.DUMMYFUNCTION("IF($D16=""Euro"",'Original Data'!F16,
IF($D16=""Dolar"",'Original Data'!F16*GOOGLEFINANCE(""Currency:USDEUR""),
IF($D16=""Franco Suíço"",'Original Data'!F16*GOOGLEFINANCE(""Currency:CHFEUR""),
IF($D16=""Libra Esterlina"", 'Original Data'!F16*GOOGLEFINANCE"&amp;"(""Currency:GBPEUR""),
IF($D16=""Iene"",'Original Data'!F16*GOOGLEFINANCE(""Currency:JPYEUR""),
IF($D16=""HKD"",'Original Data'!F16*GOOGLEFINANCE(""Currency:HKDEUR""),
IF($D16=""KRW"",'Original Data'!F16*GOOGLEFINANCE(""Currency:KRWEUR""),"""")))))))"),13.7)</f>
        <v>13.7</v>
      </c>
      <c r="G16" s="8">
        <f>IFERROR(__xludf.DUMMYFUNCTION("IF($D16=""Euro"",'Original Data'!G16,
IF($D16=""Dolar"",'Original Data'!G16*GOOGLEFINANCE(""Currency:USDEUR""),
IF($D16=""Franco Suíço"",'Original Data'!G16*GOOGLEFINANCE(""Currency:CHFEUR""),
IF($D16=""Libra Esterlina"", 'Original Data'!G16*GOOGLEFINANCE"&amp;"(""Currency:GBPEUR""),
IF($D16=""Iene"",'Original Data'!G16*GOOGLEFINANCE(""Currency:JPYEUR""),
IF($D16=""HKD"",'Original Data'!G16*GOOGLEFINANCE(""Currency:HKDEUR""),
IF($D16=""KRW"",'Original Data'!G16*GOOGLEFINANCE(""Currency:KRWEUR""),"""")))))))"),15.51)</f>
        <v>15.51</v>
      </c>
      <c r="H16" s="17">
        <v>2.67</v>
      </c>
      <c r="I16" s="7" t="s">
        <v>41</v>
      </c>
      <c r="J16" s="7" t="s">
        <v>51</v>
      </c>
      <c r="K16" s="9">
        <v>0.0737</v>
      </c>
      <c r="L16" s="9">
        <v>0.0512</v>
      </c>
      <c r="M16" s="9">
        <v>0.1419</v>
      </c>
      <c r="N16" s="8">
        <f>IFERROR(__xludf.DUMMYFUNCTION("IF('Original Data'!N16=""-"",""-"",
IF($D16=""Euro"",'Original Data'!N16,
IF($D16=""Dolar"",'Original Data'!N16*GOOGLEFINANCE(""Currency:USDEUR""),
IF($D16=""Franco Suíço"",'Original Data'!N16*GOOGLEFINANCE(""Currency:CHFEUR""),
IF($D16=""Libra Esterlina"&amp;""", 'Original Data'!N16*GOOGLEFINANCE(""Currency:GBPEUR""),
IF($D16=""Iene"",'Original Data'!N16*GOOGLEFINANCE(""Currency:JPYEUR""),
IF($D16=""HKD"",'Original Data'!N16*GOOGLEFINANCE(""Currency:HKDEUR""),
IF($D16=""KRW"",'Original Data'!N16*GOOGLEFINANCE("&amp;"""Currency:KRWEUR""),""""))))))))"),-0.91)</f>
        <v>-0.91</v>
      </c>
      <c r="O16" s="8">
        <f>IFERROR(__xludf.DUMMYFUNCTION("IF('Original Data'!O16=""-"",""-"",
IF($D16=""Euro"",'Original Data'!O16,
IF($D16=""Dolar"",'Original Data'!O16*GOOGLEFINANCE(""Currency:USDEUR""),
IF($D16=""Franco Suíço"",'Original Data'!O16*GOOGLEFINANCE(""Currency:CHFEUR""),
IF($D16=""Libra Esterlina"&amp;""", 'Original Data'!O16*GOOGLEFINANCE(""Currency:GBPEUR""),
IF($D16=""Iene"",'Original Data'!O16*GOOGLEFINANCE(""Currency:JPYEUR""),
IF($D16=""HKD"",'Original Data'!O16*GOOGLEFINANCE(""Currency:HKDEUR""),
IF($D16=""KRW"",'Original Data'!O16*GOOGLEFINANCE("&amp;"""Currency:KRWEUR""),""""))))))))"),7.15)</f>
        <v>7.15</v>
      </c>
      <c r="P16" s="8">
        <f>IFERROR(__xludf.DUMMYFUNCTION("IF('Original Data'!P16=""-"",""-"",
IF($D16=""Euro"",'Original Data'!P16,
IF($D16=""Dolar"",'Original Data'!P16*GOOGLEFINANCE(""Currency:USDEUR""),
IF($D16=""Franco Suíço"",'Original Data'!P16*GOOGLEFINANCE(""Currency:CHFEUR""),
IF($D16=""Libra Esterlina"&amp;""", 'Original Data'!P16*GOOGLEFINANCE(""Currency:GBPEUR""),
IF($D16=""Iene"",'Original Data'!P16*GOOGLEFINANCE(""Currency:JPYEUR""),
IF($D16=""HKD"",'Original Data'!P16*GOOGLEFINANCE(""Currency:HKDEUR""),
IF($D16=""KRW"",'Original Data'!P16*GOOGLEFINANCE("&amp;"""Currency:KRWEUR""),""""))))))))"),7.7)</f>
        <v>7.7</v>
      </c>
      <c r="Q16" s="8">
        <f>IFERROR(__xludf.DUMMYFUNCTION("IF('Original Data'!Q16=""-"",""-"",
IF($D16=""Euro"",'Original Data'!Q16,
IF($D16=""Dolar"",'Original Data'!Q16*GOOGLEFINANCE(""Currency:USDEUR""),
IF($D16=""Franco Suíço"",'Original Data'!Q16*GOOGLEFINANCE(""Currency:CHFEUR""),
IF($D16=""Libra Esterlina"&amp;""", 'Original Data'!Q16*GOOGLEFINANCE(""Currency:GBPEUR""),
IF($D16=""Iene"",'Original Data'!Q16*GOOGLEFINANCE(""Currency:JPYEUR""),
IF($D16=""HKD"",'Original Data'!Q16*GOOGLEFINANCE(""Currency:HKDEUR""),
IF($D16=""KRW"",'Original Data'!Q16*GOOGLEFINANCE("&amp;"""Currency:KRWEUR""),""""))))))))"),8.49)</f>
        <v>8.49</v>
      </c>
      <c r="R16" s="8">
        <f>IFERROR(__xludf.DUMMYFUNCTION("IF('Original Data'!R16=""-"",""-"",
IF($D16=""Euro"",'Original Data'!R16,
IF($D16=""Dolar"",'Original Data'!R16*GOOGLEFINANCE(""Currency:USDEUR""),
IF($D16=""Franco Suíço"",'Original Data'!R16*GOOGLEFINANCE(""Currency:CHFEUR""),
IF($D16=""Libra Esterlina"&amp;""", 'Original Data'!R16*GOOGLEFINANCE(""Currency:GBPEUR""),
IF($D16=""Iene"",'Original Data'!R16*GOOGLEFINANCE(""Currency:JPYEUR""),
IF($D16=""HKD"",'Original Data'!R16*GOOGLEFINANCE(""Currency:HKDEUR""),
IF($D16=""KRW"",'Original Data'!R16*GOOGLEFINANCE("&amp;"""Currency:KRWEUR""),""""))))))))"),1.64)</f>
        <v>1.64</v>
      </c>
      <c r="S16" s="8">
        <f>IFERROR(__xludf.DUMMYFUNCTION("IF('Original Data'!S16=""-"",""-"",
IF($D16=""Euro"",'Original Data'!S16,
IF($D16=""Dolar"",'Original Data'!S16*GOOGLEFINANCE(""Currency:USDEUR""),
IF($D16=""Franco Suíço"",'Original Data'!S16*GOOGLEFINANCE(""Currency:CHFEUR""),
IF($D16=""Libra Esterlina"&amp;""", 'Original Data'!S16*GOOGLEFINANCE(""Currency:GBPEUR""),
IF($D16=""Iene"",'Original Data'!S16*GOOGLEFINANCE(""Currency:JPYEUR""),
IF($D16=""HKD"",'Original Data'!S16*GOOGLEFINANCE(""Currency:HKDEUR""),
IF($D16=""KRW"",'Original Data'!S16*GOOGLEFINANCE("&amp;"""Currency:KRWEUR""),""""))))))))"),2.23)</f>
        <v>2.23</v>
      </c>
      <c r="T16" s="8">
        <f>IFERROR(__xludf.DUMMYFUNCTION("IF('Original Data'!T16=""-"",""-"",
IF($D16=""Euro"",'Original Data'!T16,
IF($D16=""Dolar"",'Original Data'!T16*GOOGLEFINANCE(""Currency:USDEUR""),
IF($D16=""Franco Suíço"",'Original Data'!T16*GOOGLEFINANCE(""Currency:CHFEUR""),
IF($D16=""Libra Esterlina"&amp;""", 'Original Data'!T16*GOOGLEFINANCE(""Currency:GBPEUR""),
IF($D16=""Iene"",'Original Data'!T16*GOOGLEFINANCE(""Currency:JPYEUR""),
IF($D16=""HKD"",'Original Data'!T16*GOOGLEFINANCE(""Currency:HKDEUR""),
IF($D16=""KRW"",'Original Data'!T16*GOOGLEFINANCE("&amp;"""Currency:KRWEUR""),""""))))))))"),1.66)</f>
        <v>1.66</v>
      </c>
      <c r="U16" s="8">
        <f>IFERROR(__xludf.DUMMYFUNCTION("IF('Original Data'!U16=""-"",""-"",
IF($D16=""Euro"",'Original Data'!U16,
IF($D16=""Dolar"",'Original Data'!U16*GOOGLEFINANCE(""Currency:USDEUR""),
IF($D16=""Franco Suíço"",'Original Data'!U16*GOOGLEFINANCE(""Currency:CHFEUR""),
IF($D16=""Libra Esterlina"&amp;""", 'Original Data'!U16*GOOGLEFINANCE(""Currency:GBPEUR""),
IF($D16=""Iene"",'Original Data'!U16*GOOGLEFINANCE(""Currency:JPYEUR""),
IF($D16=""HKD"",'Original Data'!U16*GOOGLEFINANCE(""Currency:HKDEUR""),
IF($D16=""KRW"",'Original Data'!U16*GOOGLEFINANCE("&amp;"""Currency:KRWEUR""),""""))))))))"),1.88)</f>
        <v>1.88</v>
      </c>
      <c r="V16" s="8" t="str">
        <f>IFERROR(__xludf.DUMMYFUNCTION("IF('Original Data'!V16=""-"",""-"",
IF($D16=""Euro"",'Original Data'!V16,
IF($D16=""Dolar"",'Original Data'!V16*GOOGLEFINANCE(""Currency:USDEUR""),
IF($D16=""Franco Suíço"",'Original Data'!V16*GOOGLEFINANCE(""Currency:CHFEUR""),
IF($D16=""Libra Esterlina"&amp;""", 'Original Data'!V16*GOOGLEFINANCE(""Currency:GBPEUR""),
IF($D16=""Iene"",'Original Data'!V16*GOOGLEFINANCE(""Currency:JPYEUR""),
IF($D16=""HKD"",'Original Data'!V16*GOOGLEFINANCE(""Currency:HKDEUR""),
IF($D16=""KRW"",'Original Data'!V16*GOOGLEFINANCE("&amp;"""Currency:KRWEUR""),""""))))))))"),"-")</f>
        <v>-</v>
      </c>
      <c r="W16" s="7" t="s">
        <v>42</v>
      </c>
      <c r="X16" s="7" t="s">
        <v>43</v>
      </c>
      <c r="Y16" s="7" t="s">
        <v>41</v>
      </c>
      <c r="Z16" s="7" t="s">
        <v>41</v>
      </c>
      <c r="AA16" s="7" t="s">
        <v>41</v>
      </c>
      <c r="AB16" s="7" t="s">
        <v>41</v>
      </c>
      <c r="AC16" s="7">
        <v>30.0</v>
      </c>
      <c r="AD16" s="7">
        <v>8.8</v>
      </c>
      <c r="AE16" s="7">
        <v>15.3</v>
      </c>
      <c r="AF16" s="7">
        <v>5.4</v>
      </c>
      <c r="AG16" s="7">
        <v>3.0</v>
      </c>
    </row>
    <row r="17">
      <c r="A17" s="16" t="s">
        <v>87</v>
      </c>
      <c r="B17" s="16" t="s">
        <v>88</v>
      </c>
      <c r="C17" s="16" t="s">
        <v>89</v>
      </c>
      <c r="D17" s="7" t="s">
        <v>33</v>
      </c>
      <c r="E17" s="8">
        <f>IFERROR(__xludf.DUMMYFUNCTION("IF($D17=""Euro"",'Original Data'!E17,
IF($D17=""Dolar"",'Original Data'!E17*GOOGLEFINANCE(""Currency:USDEUR""),
IF($D17=""Franco Suíço"",'Original Data'!E17*GOOGLEFINANCE(""Currency:CHFEUR""),
IF($D17=""Libra Esterlina"", 'Original Data'!E17*GOOGLEFINANCE"&amp;"(""Currency:GBPEUR""),
IF($D17=""Iene"",'Original Data'!E17*GOOGLEFINANCE(""Currency:JPYEUR""),
IF($D17=""HKD"",'Original Data'!E17*GOOGLEFINANCE(""Currency:HKDEUR""),
IF($D17=""KRW"",'Original Data'!E17*GOOGLEFINANCE(""Currency:KRWEUR""),"""")))))))"),2.9)</f>
        <v>2.9</v>
      </c>
      <c r="F17" s="8">
        <f>IFERROR(__xludf.DUMMYFUNCTION("IF($D17=""Euro"",'Original Data'!F17,
IF($D17=""Dolar"",'Original Data'!F17*GOOGLEFINANCE(""Currency:USDEUR""),
IF($D17=""Franco Suíço"",'Original Data'!F17*GOOGLEFINANCE(""Currency:CHFEUR""),
IF($D17=""Libra Esterlina"", 'Original Data'!F17*GOOGLEFINANCE"&amp;"(""Currency:GBPEUR""),
IF($D17=""Iene"",'Original Data'!F17*GOOGLEFINANCE(""Currency:JPYEUR""),
IF($D17=""HKD"",'Original Data'!F17*GOOGLEFINANCE(""Currency:HKDEUR""),
IF($D17=""KRW"",'Original Data'!F17*GOOGLEFINANCE(""Currency:KRWEUR""),"""")))))))"),139.7)</f>
        <v>139.7</v>
      </c>
      <c r="G17" s="8">
        <f>IFERROR(__xludf.DUMMYFUNCTION("IF($D17=""Euro"",'Original Data'!G17,
IF($D17=""Dolar"",'Original Data'!G17*GOOGLEFINANCE(""Currency:USDEUR""),
IF($D17=""Franco Suíço"",'Original Data'!G17*GOOGLEFINANCE(""Currency:CHFEUR""),
IF($D17=""Libra Esterlina"", 'Original Data'!G17*GOOGLEFINANCE"&amp;"(""Currency:GBPEUR""),
IF($D17=""Iene"",'Original Data'!G17*GOOGLEFINANCE(""Currency:JPYEUR""),
IF($D17=""HKD"",'Original Data'!G17*GOOGLEFINANCE(""Currency:HKDEUR""),
IF($D17=""KRW"",'Original Data'!G17*GOOGLEFINANCE(""Currency:KRWEUR""),"""")))))))"),2.73)</f>
        <v>2.73</v>
      </c>
      <c r="H17" s="17">
        <v>31.07</v>
      </c>
      <c r="I17" s="7">
        <v>12.08</v>
      </c>
      <c r="J17" s="9">
        <v>0.0308</v>
      </c>
      <c r="K17" s="9">
        <v>0.1656</v>
      </c>
      <c r="L17" s="9">
        <v>0.1101</v>
      </c>
      <c r="M17" s="9">
        <v>0.207</v>
      </c>
      <c r="N17" s="8">
        <f>IFERROR(__xludf.DUMMYFUNCTION("IF('Original Data'!N17=""-"",""-"",
IF($D17=""Euro"",'Original Data'!N17,
IF($D17=""Dolar"",'Original Data'!N17*GOOGLEFINANCE(""Currency:USDEUR""),
IF($D17=""Franco Suíço"",'Original Data'!N17*GOOGLEFINANCE(""Currency:CHFEUR""),
IF($D17=""Libra Esterlina"&amp;""", 'Original Data'!N17*GOOGLEFINANCE(""Currency:GBPEUR""),
IF($D17=""Iene"",'Original Data'!N17*GOOGLEFINANCE(""Currency:JPYEUR""),
IF($D17=""HKD"",'Original Data'!N17*GOOGLEFINANCE(""Currency:HKDEUR""),
IF($D17=""KRW"",'Original Data'!N17*GOOGLEFINANCE("&amp;"""Currency:KRWEUR""),""""))))))))"),11.55)</f>
        <v>11.55</v>
      </c>
      <c r="O17" s="8">
        <f>IFERROR(__xludf.DUMMYFUNCTION("IF('Original Data'!O17=""-"",""-"",
IF($D17=""Euro"",'Original Data'!O17,
IF($D17=""Dolar"",'Original Data'!O17*GOOGLEFINANCE(""Currency:USDEUR""),
IF($D17=""Franco Suíço"",'Original Data'!O17*GOOGLEFINANCE(""Currency:CHFEUR""),
IF($D17=""Libra Esterlina"&amp;""", 'Original Data'!O17*GOOGLEFINANCE(""Currency:GBPEUR""),
IF($D17=""Iene"",'Original Data'!O17*GOOGLEFINANCE(""Currency:JPYEUR""),
IF($D17=""HKD"",'Original Data'!O17*GOOGLEFINANCE(""Currency:HKDEUR""),
IF($D17=""KRW"",'Original Data'!O17*GOOGLEFINANCE("&amp;"""Currency:KRWEUR""),""""))))))))"),2.31)</f>
        <v>2.31</v>
      </c>
      <c r="P17" s="8">
        <f>IFERROR(__xludf.DUMMYFUNCTION("IF('Original Data'!P17=""-"",""-"",
IF($D17=""Euro"",'Original Data'!P17,
IF($D17=""Dolar"",'Original Data'!P17*GOOGLEFINANCE(""Currency:USDEUR""),
IF($D17=""Franco Suíço"",'Original Data'!P17*GOOGLEFINANCE(""Currency:CHFEUR""),
IF($D17=""Libra Esterlina"&amp;""", 'Original Data'!P17*GOOGLEFINANCE(""Currency:GBPEUR""),
IF($D17=""Iene"",'Original Data'!P17*GOOGLEFINANCE(""Currency:JPYEUR""),
IF($D17=""HKD"",'Original Data'!P17*GOOGLEFINANCE(""Currency:HKDEUR""),
IF($D17=""KRW"",'Original Data'!P17*GOOGLEFINANCE("&amp;"""Currency:KRWEUR""),""""))))))))"),2.33)</f>
        <v>2.33</v>
      </c>
      <c r="Q17" s="8">
        <f>IFERROR(__xludf.DUMMYFUNCTION("IF('Original Data'!Q17=""-"",""-"",
IF($D17=""Euro"",'Original Data'!Q17,
IF($D17=""Dolar"",'Original Data'!Q17*GOOGLEFINANCE(""Currency:USDEUR""),
IF($D17=""Franco Suíço"",'Original Data'!Q17*GOOGLEFINANCE(""Currency:CHFEUR""),
IF($D17=""Libra Esterlina"&amp;""", 'Original Data'!Q17*GOOGLEFINANCE(""Currency:GBPEUR""),
IF($D17=""Iene"",'Original Data'!Q17*GOOGLEFINANCE(""Currency:JPYEUR""),
IF($D17=""HKD"",'Original Data'!Q17*GOOGLEFINANCE(""Currency:HKDEUR""),
IF($D17=""KRW"",'Original Data'!Q17*GOOGLEFINANCE("&amp;"""Currency:KRWEUR""),""""))))))))"),2.18)</f>
        <v>2.18</v>
      </c>
      <c r="R17" s="8">
        <f>IFERROR(__xludf.DUMMYFUNCTION("IF('Original Data'!R17=""-"",""-"",
IF($D17=""Euro"",'Original Data'!R17,
IF($D17=""Dolar"",'Original Data'!R17*GOOGLEFINANCE(""Currency:USDEUR""),
IF($D17=""Franco Suíço"",'Original Data'!R17*GOOGLEFINANCE(""Currency:CHFEUR""),
IF($D17=""Libra Esterlina"&amp;""", 'Original Data'!R17*GOOGLEFINANCE(""Currency:GBPEUR""),
IF($D17=""Iene"",'Original Data'!R17*GOOGLEFINANCE(""Currency:JPYEUR""),
IF($D17=""HKD"",'Original Data'!R17*GOOGLEFINANCE(""Currency:HKDEUR""),
IF($D17=""KRW"",'Original Data'!R17*GOOGLEFINANCE("&amp;"""Currency:KRWEUR""),""""))))))))"),2.93)</f>
        <v>2.93</v>
      </c>
      <c r="S17" s="8">
        <f>IFERROR(__xludf.DUMMYFUNCTION("IF('Original Data'!S17=""-"",""-"",
IF($D17=""Euro"",'Original Data'!S17,
IF($D17=""Dolar"",'Original Data'!S17*GOOGLEFINANCE(""Currency:USDEUR""),
IF($D17=""Franco Suíço"",'Original Data'!S17*GOOGLEFINANCE(""Currency:CHFEUR""),
IF($D17=""Libra Esterlina"&amp;""", 'Original Data'!S17*GOOGLEFINANCE(""Currency:GBPEUR""),
IF($D17=""Iene"",'Original Data'!S17*GOOGLEFINANCE(""Currency:JPYEUR""),
IF($D17=""HKD"",'Original Data'!S17*GOOGLEFINANCE(""Currency:HKDEUR""),
IF($D17=""KRW"",'Original Data'!S17*GOOGLEFINANCE("&amp;"""Currency:KRWEUR""),""""))))))))"),0.25342)</f>
        <v>0.25342</v>
      </c>
      <c r="T17" s="8">
        <f>IFERROR(__xludf.DUMMYFUNCTION("IF('Original Data'!T17=""-"",""-"",
IF($D17=""Euro"",'Original Data'!T17,
IF($D17=""Dolar"",'Original Data'!T17*GOOGLEFINANCE(""Currency:USDEUR""),
IF($D17=""Franco Suíço"",'Original Data'!T17*GOOGLEFINANCE(""Currency:CHFEUR""),
IF($D17=""Libra Esterlina"&amp;""", 'Original Data'!T17*GOOGLEFINANCE(""Currency:GBPEUR""),
IF($D17=""Iene"",'Original Data'!T17*GOOGLEFINANCE(""Currency:JPYEUR""),
IF($D17=""HKD"",'Original Data'!T17*GOOGLEFINANCE(""Currency:HKDEUR""),
IF($D17=""KRW"",'Original Data'!T17*GOOGLEFINANCE("&amp;"""Currency:KRWEUR""),""""))))))))"),0.23584)</f>
        <v>0.23584</v>
      </c>
      <c r="U17" s="8">
        <f>IFERROR(__xludf.DUMMYFUNCTION("IF('Original Data'!U17=""-"",""-"",
IF($D17=""Euro"",'Original Data'!U17,
IF($D17=""Dolar"",'Original Data'!U17*GOOGLEFINANCE(""Currency:USDEUR""),
IF($D17=""Franco Suíço"",'Original Data'!U17*GOOGLEFINANCE(""Currency:CHFEUR""),
IF($D17=""Libra Esterlina"&amp;""", 'Original Data'!U17*GOOGLEFINANCE(""Currency:GBPEUR""),
IF($D17=""Iene"",'Original Data'!U17*GOOGLEFINANCE(""Currency:JPYEUR""),
IF($D17=""HKD"",'Original Data'!U17*GOOGLEFINANCE(""Currency:HKDEUR""),
IF($D17=""KRW"",'Original Data'!U17*GOOGLEFINANCE("&amp;"""Currency:KRWEUR""),""""))))))))"),0.23776)</f>
        <v>0.23776</v>
      </c>
      <c r="V17" s="8">
        <f>IFERROR(__xludf.DUMMYFUNCTION("IF('Original Data'!V17=""-"",""-"",
IF($D17=""Euro"",'Original Data'!V17,
IF($D17=""Dolar"",'Original Data'!V17*GOOGLEFINANCE(""Currency:USDEUR""),
IF($D17=""Franco Suíço"",'Original Data'!V17*GOOGLEFINANCE(""Currency:CHFEUR""),
IF($D17=""Libra Esterlina"&amp;""", 'Original Data'!V17*GOOGLEFINANCE(""Currency:GBPEUR""),
IF($D17=""Iene"",'Original Data'!V17*GOOGLEFINANCE(""Currency:JPYEUR""),
IF($D17=""HKD"",'Original Data'!V17*GOOGLEFINANCE(""Currency:HKDEUR""),
IF($D17=""KRW"",'Original Data'!V17*GOOGLEFINANCE("&amp;"""Currency:KRWEUR""),""""))))))))"),0.42454)</f>
        <v>0.42454</v>
      </c>
      <c r="W17" s="7" t="s">
        <v>59</v>
      </c>
      <c r="X17" s="7" t="s">
        <v>59</v>
      </c>
      <c r="Y17" s="7" t="s">
        <v>41</v>
      </c>
      <c r="Z17" s="7" t="s">
        <v>41</v>
      </c>
      <c r="AA17" s="7" t="s">
        <v>41</v>
      </c>
      <c r="AB17" s="7" t="s">
        <v>41</v>
      </c>
      <c r="AC17" s="7" t="s">
        <v>41</v>
      </c>
      <c r="AD17" s="7" t="s">
        <v>41</v>
      </c>
      <c r="AE17" s="7" t="s">
        <v>41</v>
      </c>
      <c r="AF17" s="7" t="s">
        <v>41</v>
      </c>
      <c r="AG17" s="7" t="s">
        <v>41</v>
      </c>
    </row>
    <row r="18">
      <c r="A18" s="16" t="s">
        <v>90</v>
      </c>
      <c r="B18" s="16" t="s">
        <v>91</v>
      </c>
      <c r="C18" s="16" t="s">
        <v>92</v>
      </c>
      <c r="D18" s="7" t="s">
        <v>33</v>
      </c>
      <c r="E18" s="8">
        <f>IFERROR(__xludf.DUMMYFUNCTION("IF($D18=""Euro"",'Original Data'!E18,
IF($D18=""Dolar"",'Original Data'!E18*GOOGLEFINANCE(""Currency:USDEUR""),
IF($D18=""Franco Suíço"",'Original Data'!E18*GOOGLEFINANCE(""Currency:CHFEUR""),
IF($D18=""Libra Esterlina"", 'Original Data'!E18*GOOGLEFINANCE"&amp;"(""Currency:GBPEUR""),
IF($D18=""Iene"",'Original Data'!E18*GOOGLEFINANCE(""Currency:JPYEUR""),
IF($D18=""HKD"",'Original Data'!E18*GOOGLEFINANCE(""Currency:HKDEUR""),
IF($D18=""KRW"",'Original Data'!E18*GOOGLEFINANCE(""Currency:KRWEUR""),"""")))))))"),0.18)</f>
        <v>0.18</v>
      </c>
      <c r="F18" s="8">
        <f>IFERROR(__xludf.DUMMYFUNCTION("IF($D18=""Euro"",'Original Data'!F18,
IF($D18=""Dolar"",'Original Data'!F18*GOOGLEFINANCE(""Currency:USDEUR""),
IF($D18=""Franco Suíço"",'Original Data'!F18*GOOGLEFINANCE(""Currency:CHFEUR""),
IF($D18=""Libra Esterlina"", 'Original Data'!F18*GOOGLEFINANCE"&amp;"(""Currency:GBPEUR""),
IF($D18=""Iene"",'Original Data'!F18*GOOGLEFINANCE(""Currency:JPYEUR""),
IF($D18=""HKD"",'Original Data'!F18*GOOGLEFINANCE(""Currency:HKDEUR""),
IF($D18=""KRW"",'Original Data'!F18*GOOGLEFINANCE(""Currency:KRWEUR""),"""")))))))"),14.16)</f>
        <v>14.16</v>
      </c>
      <c r="G18" s="8">
        <f>IFERROR(__xludf.DUMMYFUNCTION("IF($D18=""Euro"",'Original Data'!G18,
IF($D18=""Dolar"",'Original Data'!G18*GOOGLEFINANCE(""Currency:USDEUR""),
IF($D18=""Franco Suíço"",'Original Data'!G18*GOOGLEFINANCE(""Currency:CHFEUR""),
IF($D18=""Libra Esterlina"", 'Original Data'!G18*GOOGLEFINANCE"&amp;"(""Currency:GBPEUR""),
IF($D18=""Iene"",'Original Data'!G18*GOOGLEFINANCE(""Currency:JPYEUR""),
IF($D18=""HKD"",'Original Data'!G18*GOOGLEFINANCE(""Currency:HKDEUR""),
IF($D18=""KRW"",'Original Data'!G18*GOOGLEFINANCE(""Currency:KRWEUR""),"""")))))))"),1.2)</f>
        <v>1.2</v>
      </c>
      <c r="H18" s="17">
        <v>0.101</v>
      </c>
      <c r="I18" s="7" t="s">
        <v>41</v>
      </c>
      <c r="J18" s="7" t="s">
        <v>51</v>
      </c>
      <c r="K18" s="7" t="s">
        <v>51</v>
      </c>
      <c r="L18" s="7" t="s">
        <v>51</v>
      </c>
      <c r="M18" s="7" t="s">
        <v>51</v>
      </c>
      <c r="N18" s="8" t="str">
        <f>IFERROR(__xludf.DUMMYFUNCTION("IF('Original Data'!N18=""-"",""-"",
IF($D18=""Euro"",'Original Data'!N18,
IF($D18=""Dolar"",'Original Data'!N18*GOOGLEFINANCE(""Currency:USDEUR""),
IF($D18=""Franco Suíço"",'Original Data'!N18*GOOGLEFINANCE(""Currency:CHFEUR""),
IF($D18=""Libra Esterlina"&amp;""", 'Original Data'!N18*GOOGLEFINANCE(""Currency:GBPEUR""),
IF($D18=""Iene"",'Original Data'!N18*GOOGLEFINANCE(""Currency:JPYEUR""),
IF($D18=""HKD"",'Original Data'!N18*GOOGLEFINANCE(""Currency:HKDEUR""),
IF($D18=""KRW"",'Original Data'!N18*GOOGLEFINANCE("&amp;"""Currency:KRWEUR""),""""))))))))"),"-")</f>
        <v>-</v>
      </c>
      <c r="O18" s="8">
        <f>IFERROR(__xludf.DUMMYFUNCTION("IF('Original Data'!O18=""-"",""-"",
IF($D18=""Euro"",'Original Data'!O18,
IF($D18=""Dolar"",'Original Data'!O18*GOOGLEFINANCE(""Currency:USDEUR""),
IF($D18=""Franco Suíço"",'Original Data'!O18*GOOGLEFINANCE(""Currency:CHFEUR""),
IF($D18=""Libra Esterlina"&amp;""", 'Original Data'!O18*GOOGLEFINANCE(""Currency:GBPEUR""),
IF($D18=""Iene"",'Original Data'!O18*GOOGLEFINANCE(""Currency:JPYEUR""),
IF($D18=""HKD"",'Original Data'!O18*GOOGLEFINANCE(""Currency:HKDEUR""),
IF($D18=""KRW"",'Original Data'!O18*GOOGLEFINANCE("&amp;"""Currency:KRWEUR""),""""))))))))"),1.29)</f>
        <v>1.29</v>
      </c>
      <c r="P18" s="8">
        <f>IFERROR(__xludf.DUMMYFUNCTION("IF('Original Data'!P18=""-"",""-"",
IF($D18=""Euro"",'Original Data'!P18,
IF($D18=""Dolar"",'Original Data'!P18*GOOGLEFINANCE(""Currency:USDEUR""),
IF($D18=""Franco Suíço"",'Original Data'!P18*GOOGLEFINANCE(""Currency:CHFEUR""),
IF($D18=""Libra Esterlina"&amp;""", 'Original Data'!P18*GOOGLEFINANCE(""Currency:GBPEUR""),
IF($D18=""Iene"",'Original Data'!P18*GOOGLEFINANCE(""Currency:JPYEUR""),
IF($D18=""HKD"",'Original Data'!P18*GOOGLEFINANCE(""Currency:HKDEUR""),
IF($D18=""KRW"",'Original Data'!P18*GOOGLEFINANCE("&amp;"""Currency:KRWEUR""),""""))))))))"),1.34)</f>
        <v>1.34</v>
      </c>
      <c r="Q18" s="8">
        <f>IFERROR(__xludf.DUMMYFUNCTION("IF('Original Data'!Q18=""-"",""-"",
IF($D18=""Euro"",'Original Data'!Q18,
IF($D18=""Dolar"",'Original Data'!Q18*GOOGLEFINANCE(""Currency:USDEUR""),
IF($D18=""Franco Suíço"",'Original Data'!Q18*GOOGLEFINANCE(""Currency:CHFEUR""),
IF($D18=""Libra Esterlina"&amp;""", 'Original Data'!Q18*GOOGLEFINANCE(""Currency:GBPEUR""),
IF($D18=""Iene"",'Original Data'!Q18*GOOGLEFINANCE(""Currency:JPYEUR""),
IF($D18=""HKD"",'Original Data'!Q18*GOOGLEFINANCE(""Currency:HKDEUR""),
IF($D18=""KRW"",'Original Data'!Q18*GOOGLEFINANCE("&amp;"""Currency:KRWEUR""),""""))))))))"),1.01)</f>
        <v>1.01</v>
      </c>
      <c r="R18" s="8">
        <f>IFERROR(__xludf.DUMMYFUNCTION("IF('Original Data'!R18=""-"",""-"",
IF($D18=""Euro"",'Original Data'!R18,
IF($D18=""Dolar"",'Original Data'!R18*GOOGLEFINANCE(""Currency:USDEUR""),
IF($D18=""Franco Suíço"",'Original Data'!R18*GOOGLEFINANCE(""Currency:CHFEUR""),
IF($D18=""Libra Esterlina"&amp;""", 'Original Data'!R18*GOOGLEFINANCE(""Currency:GBPEUR""),
IF($D18=""Iene"",'Original Data'!R18*GOOGLEFINANCE(""Currency:JPYEUR""),
IF($D18=""HKD"",'Original Data'!R18*GOOGLEFINANCE(""Currency:HKDEUR""),
IF($D18=""KRW"",'Original Data'!R18*GOOGLEFINANCE("&amp;"""Currency:KRWEUR""),""""))))))))"),1.23)</f>
        <v>1.23</v>
      </c>
      <c r="S18" s="8">
        <f>IFERROR(__xludf.DUMMYFUNCTION("IF('Original Data'!S18=""-"",""-"",
IF($D18=""Euro"",'Original Data'!S18,
IF($D18=""Dolar"",'Original Data'!S18*GOOGLEFINANCE(""Currency:USDEUR""),
IF($D18=""Franco Suíço"",'Original Data'!S18*GOOGLEFINANCE(""Currency:CHFEUR""),
IF($D18=""Libra Esterlina"&amp;""", 'Original Data'!S18*GOOGLEFINANCE(""Currency:GBPEUR""),
IF($D18=""Iene"",'Original Data'!S18*GOOGLEFINANCE(""Currency:JPYEUR""),
IF($D18=""HKD"",'Original Data'!S18*GOOGLEFINANCE(""Currency:HKDEUR""),
IF($D18=""KRW"",'Original Data'!S18*GOOGLEFINANCE("&amp;"""Currency:KRWEUR""),""""))))))))"),0.1536)</f>
        <v>0.1536</v>
      </c>
      <c r="T18" s="8">
        <f>IFERROR(__xludf.DUMMYFUNCTION("IF('Original Data'!T18=""-"",""-"",
IF($D18=""Euro"",'Original Data'!T18,
IF($D18=""Dolar"",'Original Data'!T18*GOOGLEFINANCE(""Currency:USDEUR""),
IF($D18=""Franco Suíço"",'Original Data'!T18*GOOGLEFINANCE(""Currency:CHFEUR""),
IF($D18=""Libra Esterlina"&amp;""", 'Original Data'!T18*GOOGLEFINANCE(""Currency:GBPEUR""),
IF($D18=""Iene"",'Original Data'!T18*GOOGLEFINANCE(""Currency:JPYEUR""),
IF($D18=""HKD"",'Original Data'!T18*GOOGLEFINANCE(""Currency:HKDEUR""),
IF($D18=""KRW"",'Original Data'!T18*GOOGLEFINANCE("&amp;"""Currency:KRWEUR""),""""))))))))"),0.15511)</f>
        <v>0.15511</v>
      </c>
      <c r="U18" s="8">
        <f>IFERROR(__xludf.DUMMYFUNCTION("IF('Original Data'!U18=""-"",""-"",
IF($D18=""Euro"",'Original Data'!U18,
IF($D18=""Dolar"",'Original Data'!U18*GOOGLEFINANCE(""Currency:USDEUR""),
IF($D18=""Franco Suíço"",'Original Data'!U18*GOOGLEFINANCE(""Currency:CHFEUR""),
IF($D18=""Libra Esterlina"&amp;""", 'Original Data'!U18*GOOGLEFINANCE(""Currency:GBPEUR""),
IF($D18=""Iene"",'Original Data'!U18*GOOGLEFINANCE(""Currency:JPYEUR""),
IF($D18=""HKD"",'Original Data'!U18*GOOGLEFINANCE(""Currency:HKDEUR""),
IF($D18=""KRW"",'Original Data'!U18*GOOGLEFINANCE("&amp;"""Currency:KRWEUR""),""""))))))))"),0.07146)</f>
        <v>0.07146</v>
      </c>
      <c r="V18" s="8" t="str">
        <f>IFERROR(__xludf.DUMMYFUNCTION("IF('Original Data'!V18=""-"",""-"",
IF($D18=""Euro"",'Original Data'!V18,
IF($D18=""Dolar"",'Original Data'!V18*GOOGLEFINANCE(""Currency:USDEUR""),
IF($D18=""Franco Suíço"",'Original Data'!V18*GOOGLEFINANCE(""Currency:CHFEUR""),
IF($D18=""Libra Esterlina"&amp;""", 'Original Data'!V18*GOOGLEFINANCE(""Currency:GBPEUR""),
IF($D18=""Iene"",'Original Data'!V18*GOOGLEFINANCE(""Currency:JPYEUR""),
IF($D18=""HKD"",'Original Data'!V18*GOOGLEFINANCE(""Currency:HKDEUR""),
IF($D18=""KRW"",'Original Data'!V18*GOOGLEFINANCE("&amp;"""Currency:KRWEUR""),""""))))))))"),"-")</f>
        <v>-</v>
      </c>
      <c r="W18" s="7" t="s">
        <v>59</v>
      </c>
      <c r="X18" s="7" t="s">
        <v>59</v>
      </c>
      <c r="Y18" s="7" t="s">
        <v>41</v>
      </c>
      <c r="Z18" s="7" t="s">
        <v>41</v>
      </c>
      <c r="AA18" s="7" t="s">
        <v>41</v>
      </c>
      <c r="AB18" s="7" t="s">
        <v>41</v>
      </c>
      <c r="AC18" s="7" t="s">
        <v>41</v>
      </c>
      <c r="AD18" s="7" t="s">
        <v>41</v>
      </c>
      <c r="AE18" s="7" t="s">
        <v>41</v>
      </c>
      <c r="AF18" s="7" t="s">
        <v>41</v>
      </c>
      <c r="AG18" s="7" t="s">
        <v>41</v>
      </c>
    </row>
    <row r="19">
      <c r="A19" s="16" t="s">
        <v>93</v>
      </c>
      <c r="B19" s="16" t="s">
        <v>94</v>
      </c>
      <c r="C19" s="16" t="s">
        <v>95</v>
      </c>
      <c r="D19" s="7" t="s">
        <v>33</v>
      </c>
      <c r="E19" s="8">
        <f>IFERROR(__xludf.DUMMYFUNCTION("IF($D19=""Euro"",'Original Data'!E19,
IF($D19=""Dolar"",'Original Data'!E19*GOOGLEFINANCE(""Currency:USDEUR""),
IF($D19=""Franco Suíço"",'Original Data'!E19*GOOGLEFINANCE(""Currency:CHFEUR""),
IF($D19=""Libra Esterlina"", 'Original Data'!E19*GOOGLEFINANCE"&amp;"(""Currency:GBPEUR""),
IF($D19=""Iene"",'Original Data'!E19*GOOGLEFINANCE(""Currency:JPYEUR""),
IF($D19=""HKD"",'Original Data'!E19*GOOGLEFINANCE(""Currency:HKDEUR""),
IF($D19=""KRW"",'Original Data'!E19*GOOGLEFINANCE(""Currency:KRWEUR""),"""")))))))"),36.13)</f>
        <v>36.13</v>
      </c>
      <c r="F19" s="8">
        <f>IFERROR(__xludf.DUMMYFUNCTION("IF($D19=""Euro"",'Original Data'!F19,
IF($D19=""Dolar"",'Original Data'!F19*GOOGLEFINANCE(""Currency:USDEUR""),
IF($D19=""Franco Suíço"",'Original Data'!F19*GOOGLEFINANCE(""Currency:CHFEUR""),
IF($D19=""Libra Esterlina"", 'Original Data'!F19*GOOGLEFINANCE"&amp;"(""Currency:GBPEUR""),
IF($D19=""Iene"",'Original Data'!F19*GOOGLEFINANCE(""Currency:JPYEUR""),
IF($D19=""HKD"",'Original Data'!F19*GOOGLEFINANCE(""Currency:HKDEUR""),
IF($D19=""KRW"",'Original Data'!F19*GOOGLEFINANCE(""Currency:KRWEUR""),"""")))))))"),57.88)</f>
        <v>57.88</v>
      </c>
      <c r="G19" s="8">
        <f>IFERROR(__xludf.DUMMYFUNCTION("IF($D19=""Euro"",'Original Data'!G19,
IF($D19=""Dolar"",'Original Data'!G19*GOOGLEFINANCE(""Currency:USDEUR""),
IF($D19=""Franco Suíço"",'Original Data'!G19*GOOGLEFINANCE(""Currency:CHFEUR""),
IF($D19=""Libra Esterlina"", 'Original Data'!G19*GOOGLEFINANCE"&amp;"(""Currency:GBPEUR""),
IF($D19=""Iene"",'Original Data'!G19*GOOGLEFINANCE(""Currency:JPYEUR""),
IF($D19=""HKD"",'Original Data'!G19*GOOGLEFINANCE(""Currency:HKDEUR""),
IF($D19=""KRW"",'Original Data'!G19*GOOGLEFINANCE(""Currency:KRWEUR""),"""")))))))"),29.72)</f>
        <v>29.72</v>
      </c>
      <c r="H19" s="17">
        <v>1.46</v>
      </c>
      <c r="I19" s="7">
        <v>12.17</v>
      </c>
      <c r="J19" s="9">
        <v>0.0287</v>
      </c>
      <c r="K19" s="9">
        <v>0.0391</v>
      </c>
      <c r="L19" s="9">
        <v>0.0279</v>
      </c>
      <c r="M19" s="9">
        <v>0.0683</v>
      </c>
      <c r="N19" s="8">
        <f>IFERROR(__xludf.DUMMYFUNCTION("IF('Original Data'!N19=""-"",""-"",
IF($D19=""Euro"",'Original Data'!N19,
IF($D19=""Dolar"",'Original Data'!N19*GOOGLEFINANCE(""Currency:USDEUR""),
IF($D19=""Franco Suíço"",'Original Data'!N19*GOOGLEFINANCE(""Currency:CHFEUR""),
IF($D19=""Libra Esterlina"&amp;""", 'Original Data'!N19*GOOGLEFINANCE(""Currency:GBPEUR""),
IF($D19=""Iene"",'Original Data'!N19*GOOGLEFINANCE(""Currency:JPYEUR""),
IF($D19=""HKD"",'Original Data'!N19*GOOGLEFINANCE(""Currency:HKDEUR""),
IF($D19=""KRW"",'Original Data'!N19*GOOGLEFINANCE("&amp;"""Currency:KRWEUR""),""""))))))))"),4.79)</f>
        <v>4.79</v>
      </c>
      <c r="O19" s="8">
        <f>IFERROR(__xludf.DUMMYFUNCTION("IF('Original Data'!O19=""-"",""-"",
IF($D19=""Euro"",'Original Data'!O19,
IF($D19=""Dolar"",'Original Data'!O19*GOOGLEFINANCE(""Currency:USDEUR""),
IF($D19=""Franco Suíço"",'Original Data'!O19*GOOGLEFINANCE(""Currency:CHFEUR""),
IF($D19=""Libra Esterlina"&amp;""", 'Original Data'!O19*GOOGLEFINANCE(""Currency:GBPEUR""),
IF($D19=""Iene"",'Original Data'!O19*GOOGLEFINANCE(""Currency:JPYEUR""),
IF($D19=""HKD"",'Original Data'!O19*GOOGLEFINANCE(""Currency:HKDEUR""),
IF($D19=""KRW"",'Original Data'!O19*GOOGLEFINANCE("&amp;"""Currency:KRWEUR""),""""))))))))"),41.77)</f>
        <v>41.77</v>
      </c>
      <c r="P19" s="8">
        <f>IFERROR(__xludf.DUMMYFUNCTION("IF('Original Data'!P19=""-"",""-"",
IF($D19=""Euro"",'Original Data'!P19,
IF($D19=""Dolar"",'Original Data'!P19*GOOGLEFINANCE(""Currency:USDEUR""),
IF($D19=""Franco Suíço"",'Original Data'!P19*GOOGLEFINANCE(""Currency:CHFEUR""),
IF($D19=""Libra Esterlina"&amp;""", 'Original Data'!P19*GOOGLEFINANCE(""Currency:GBPEUR""),
IF($D19=""Iene"",'Original Data'!P19*GOOGLEFINANCE(""Currency:JPYEUR""),
IF($D19=""HKD"",'Original Data'!P19*GOOGLEFINANCE(""Currency:HKDEUR""),
IF($D19=""KRW"",'Original Data'!P19*GOOGLEFINANCE("&amp;"""Currency:KRWEUR""),""""))))))))"),42.57)</f>
        <v>42.57</v>
      </c>
      <c r="Q19" s="8">
        <f>IFERROR(__xludf.DUMMYFUNCTION("IF('Original Data'!Q19=""-"",""-"",
IF($D19=""Euro"",'Original Data'!Q19,
IF($D19=""Dolar"",'Original Data'!Q19*GOOGLEFINANCE(""Currency:USDEUR""),
IF($D19=""Franco Suíço"",'Original Data'!Q19*GOOGLEFINANCE(""Currency:CHFEUR""),
IF($D19=""Libra Esterlina"&amp;""", 'Original Data'!Q19*GOOGLEFINANCE(""Currency:GBPEUR""),
IF($D19=""Iene"",'Original Data'!Q19*GOOGLEFINANCE(""Currency:JPYEUR""),
IF($D19=""HKD"",'Original Data'!Q19*GOOGLEFINANCE(""Currency:HKDEUR""),
IF($D19=""KRW"",'Original Data'!Q19*GOOGLEFINANCE("&amp;"""Currency:KRWEUR""),""""))))))))"),38.13)</f>
        <v>38.13</v>
      </c>
      <c r="R19" s="8">
        <f>IFERROR(__xludf.DUMMYFUNCTION("IF('Original Data'!R19=""-"",""-"",
IF($D19=""Euro"",'Original Data'!R19,
IF($D19=""Dolar"",'Original Data'!R19*GOOGLEFINANCE(""Currency:USDEUR""),
IF($D19=""Franco Suíço"",'Original Data'!R19*GOOGLEFINANCE(""Currency:CHFEUR""),
IF($D19=""Libra Esterlina"&amp;""", 'Original Data'!R19*GOOGLEFINANCE(""Currency:GBPEUR""),
IF($D19=""Iene"",'Original Data'!R19*GOOGLEFINANCE(""Currency:JPYEUR""),
IF($D19=""HKD"",'Original Data'!R19*GOOGLEFINANCE(""Currency:HKDEUR""),
IF($D19=""KRW"",'Original Data'!R19*GOOGLEFINANCE("&amp;"""Currency:KRWEUR""),""""))))))))"),44.16)</f>
        <v>44.16</v>
      </c>
      <c r="S19" s="8">
        <f>IFERROR(__xludf.DUMMYFUNCTION("IF('Original Data'!S19=""-"",""-"",
IF($D19=""Euro"",'Original Data'!S19,
IF($D19=""Dolar"",'Original Data'!S19*GOOGLEFINANCE(""Currency:USDEUR""),
IF($D19=""Franco Suíço"",'Original Data'!S19*GOOGLEFINANCE(""Currency:CHFEUR""),
IF($D19=""Libra Esterlina"&amp;""", 'Original Data'!S19*GOOGLEFINANCE(""Currency:GBPEUR""),
IF($D19=""Iene"",'Original Data'!S19*GOOGLEFINANCE(""Currency:JPYEUR""),
IF($D19=""HKD"",'Original Data'!S19*GOOGLEFINANCE(""Currency:HKDEUR""),
IF($D19=""KRW"",'Original Data'!S19*GOOGLEFINANCE("&amp;"""Currency:KRWEUR""),""""))))))))"),5.08)</f>
        <v>5.08</v>
      </c>
      <c r="T19" s="8">
        <f>IFERROR(__xludf.DUMMYFUNCTION("IF('Original Data'!T19=""-"",""-"",
IF($D19=""Euro"",'Original Data'!T19,
IF($D19=""Dolar"",'Original Data'!T19*GOOGLEFINANCE(""Currency:USDEUR""),
IF($D19=""Franco Suíço"",'Original Data'!T19*GOOGLEFINANCE(""Currency:CHFEUR""),
IF($D19=""Libra Esterlina"&amp;""", 'Original Data'!T19*GOOGLEFINANCE(""Currency:GBPEUR""),
IF($D19=""Iene"",'Original Data'!T19*GOOGLEFINANCE(""Currency:JPYEUR""),
IF($D19=""HKD"",'Original Data'!T19*GOOGLEFINANCE(""Currency:HKDEUR""),
IF($D19=""KRW"",'Original Data'!T19*GOOGLEFINANCE("&amp;"""Currency:KRWEUR""),""""))))))))"),5.27)</f>
        <v>5.27</v>
      </c>
      <c r="U19" s="8">
        <f>IFERROR(__xludf.DUMMYFUNCTION("IF('Original Data'!U19=""-"",""-"",
IF($D19=""Euro"",'Original Data'!U19,
IF($D19=""Dolar"",'Original Data'!U19*GOOGLEFINANCE(""Currency:USDEUR""),
IF($D19=""Franco Suíço"",'Original Data'!U19*GOOGLEFINANCE(""Currency:CHFEUR""),
IF($D19=""Libra Esterlina"&amp;""", 'Original Data'!U19*GOOGLEFINANCE(""Currency:GBPEUR""),
IF($D19=""Iene"",'Original Data'!U19*GOOGLEFINANCE(""Currency:JPYEUR""),
IF($D19=""HKD"",'Original Data'!U19*GOOGLEFINANCE(""Currency:HKDEUR""),
IF($D19=""KRW"",'Original Data'!U19*GOOGLEFINANCE("&amp;"""Currency:KRWEUR""),""""))))))))"),4.74)</f>
        <v>4.74</v>
      </c>
      <c r="V19" s="8">
        <f>IFERROR(__xludf.DUMMYFUNCTION("IF('Original Data'!V19=""-"",""-"",
IF($D19=""Euro"",'Original Data'!V19,
IF($D19=""Dolar"",'Original Data'!V19*GOOGLEFINANCE(""Currency:USDEUR""),
IF($D19=""Franco Suíço"",'Original Data'!V19*GOOGLEFINANCE(""Currency:CHFEUR""),
IF($D19=""Libra Esterlina"&amp;""", 'Original Data'!V19*GOOGLEFINANCE(""Currency:GBPEUR""),
IF($D19=""Iene"",'Original Data'!V19*GOOGLEFINANCE(""Currency:JPYEUR""),
IF($D19=""HKD"",'Original Data'!V19*GOOGLEFINANCE(""Currency:HKDEUR""),
IF($D19=""KRW"",'Original Data'!V19*GOOGLEFINANCE("&amp;"""Currency:KRWEUR""),""""))))))))"),6.44)</f>
        <v>6.44</v>
      </c>
      <c r="W19" s="7" t="s">
        <v>35</v>
      </c>
      <c r="X19" s="7" t="s">
        <v>34</v>
      </c>
      <c r="Y19" s="7" t="s">
        <v>59</v>
      </c>
      <c r="Z19" s="7" t="s">
        <v>59</v>
      </c>
      <c r="AA19" s="7" t="s">
        <v>43</v>
      </c>
      <c r="AB19" s="7" t="s">
        <v>35</v>
      </c>
      <c r="AC19" s="7">
        <v>20.0</v>
      </c>
      <c r="AD19" s="7">
        <v>8.4</v>
      </c>
      <c r="AE19" s="7">
        <v>6.1</v>
      </c>
      <c r="AF19" s="7">
        <v>5.6</v>
      </c>
      <c r="AG19" s="7">
        <v>3.0</v>
      </c>
    </row>
    <row r="20">
      <c r="A20" s="16" t="s">
        <v>96</v>
      </c>
      <c r="B20" s="16" t="s">
        <v>97</v>
      </c>
      <c r="C20" s="16" t="s">
        <v>98</v>
      </c>
      <c r="D20" s="7" t="s">
        <v>33</v>
      </c>
      <c r="E20" s="8">
        <f>IFERROR(__xludf.DUMMYFUNCTION("IF($D20=""Euro"",'Original Data'!E20,
IF($D20=""Dolar"",'Original Data'!E20*GOOGLEFINANCE(""Currency:USDEUR""),
IF($D20=""Franco Suíço"",'Original Data'!E20*GOOGLEFINANCE(""Currency:CHFEUR""),
IF($D20=""Libra Esterlina"", 'Original Data'!E20*GOOGLEFINANCE"&amp;"(""Currency:GBPEUR""),
IF($D20=""Iene"",'Original Data'!E20*GOOGLEFINANCE(""Currency:JPYEUR""),
IF($D20=""HKD"",'Original Data'!E20*GOOGLEFINANCE(""Currency:HKDEUR""),
IF($D20=""KRW"",'Original Data'!E20*GOOGLEFINANCE(""Currency:KRWEUR""),"""")))))))"),18.17)</f>
        <v>18.17</v>
      </c>
      <c r="F20" s="8">
        <f>IFERROR(__xludf.DUMMYFUNCTION("IF($D20=""Euro"",'Original Data'!F20,
IF($D20=""Dolar"",'Original Data'!F20*GOOGLEFINANCE(""Currency:USDEUR""),
IF($D20=""Franco Suíço"",'Original Data'!F20*GOOGLEFINANCE(""Currency:CHFEUR""),
IF($D20=""Libra Esterlina"", 'Original Data'!F20*GOOGLEFINANCE"&amp;"(""Currency:GBPEUR""),
IF($D20=""Iene"",'Original Data'!F20*GOOGLEFINANCE(""Currency:JPYEUR""),
IF($D20=""HKD"",'Original Data'!F20*GOOGLEFINANCE(""Currency:HKDEUR""),
IF($D20=""KRW"",'Original Data'!F20*GOOGLEFINANCE(""Currency:KRWEUR""),"""")))))))"),36.92)</f>
        <v>36.92</v>
      </c>
      <c r="G20" s="8">
        <f>IFERROR(__xludf.DUMMYFUNCTION("IF($D20=""Euro"",'Original Data'!G20,
IF($D20=""Dolar"",'Original Data'!G20*GOOGLEFINANCE(""Currency:USDEUR""),
IF($D20=""Franco Suíço"",'Original Data'!G20*GOOGLEFINANCE(""Currency:CHFEUR""),
IF($D20=""Libra Esterlina"", 'Original Data'!G20*GOOGLEFINANCE"&amp;"(""Currency:GBPEUR""),
IF($D20=""Iene"",'Original Data'!G20*GOOGLEFINANCE(""Currency:JPYEUR""),
IF($D20=""HKD"",'Original Data'!G20*GOOGLEFINANCE(""Currency:HKDEUR""),
IF($D20=""KRW"",'Original Data'!G20*GOOGLEFINANCE(""Currency:KRWEUR""),"""")))))))"),2.23)</f>
        <v>2.23</v>
      </c>
      <c r="H20" s="17">
        <v>0.09913</v>
      </c>
      <c r="I20" s="7">
        <v>5.2</v>
      </c>
      <c r="J20" s="9">
        <v>0.0286</v>
      </c>
      <c r="K20" s="9">
        <v>0.0446</v>
      </c>
      <c r="L20" s="9">
        <v>0.0276</v>
      </c>
      <c r="M20" s="9">
        <v>0.1079</v>
      </c>
      <c r="N20" s="8">
        <f>IFERROR(__xludf.DUMMYFUNCTION("IF('Original Data'!N20=""-"",""-"",
IF($D20=""Euro"",'Original Data'!N20,
IF($D20=""Dolar"",'Original Data'!N20*GOOGLEFINANCE(""Currency:USDEUR""),
IF($D20=""Franco Suíço"",'Original Data'!N20*GOOGLEFINANCE(""Currency:CHFEUR""),
IF($D20=""Libra Esterlina"&amp;""", 'Original Data'!N20*GOOGLEFINANCE(""Currency:GBPEUR""),
IF($D20=""Iene"",'Original Data'!N20*GOOGLEFINANCE(""Currency:JPYEUR""),
IF($D20=""HKD"",'Original Data'!N20*GOOGLEFINANCE(""Currency:HKDEUR""),
IF($D20=""KRW"",'Original Data'!N20*GOOGLEFINANCE("&amp;"""Currency:KRWEUR""),""""))))))))"),7.14)</f>
        <v>7.14</v>
      </c>
      <c r="O20" s="8">
        <f>IFERROR(__xludf.DUMMYFUNCTION("IF('Original Data'!O20=""-"",""-"",
IF($D20=""Euro"",'Original Data'!O20,
IF($D20=""Dolar"",'Original Data'!O20*GOOGLEFINANCE(""Currency:USDEUR""),
IF($D20=""Franco Suíço"",'Original Data'!O20*GOOGLEFINANCE(""Currency:CHFEUR""),
IF($D20=""Libra Esterlina"&amp;""", 'Original Data'!O20*GOOGLEFINANCE(""Currency:GBPEUR""),
IF($D20=""Iene"",'Original Data'!O20*GOOGLEFINANCE(""Currency:JPYEUR""),
IF($D20=""HKD"",'Original Data'!O20*GOOGLEFINANCE(""Currency:HKDEUR""),
IF($D20=""KRW"",'Original Data'!O20*GOOGLEFINANCE("&amp;"""Currency:KRWEUR""),""""))))))))"),4.31)</f>
        <v>4.31</v>
      </c>
      <c r="P20" s="8">
        <f>IFERROR(__xludf.DUMMYFUNCTION("IF('Original Data'!P20=""-"",""-"",
IF($D20=""Euro"",'Original Data'!P20,
IF($D20=""Dolar"",'Original Data'!P20*GOOGLEFINANCE(""Currency:USDEUR""),
IF($D20=""Franco Suíço"",'Original Data'!P20*GOOGLEFINANCE(""Currency:CHFEUR""),
IF($D20=""Libra Esterlina"&amp;""", 'Original Data'!P20*GOOGLEFINANCE(""Currency:GBPEUR""),
IF($D20=""Iene"",'Original Data'!P20*GOOGLEFINANCE(""Currency:JPYEUR""),
IF($D20=""HKD"",'Original Data'!P20*GOOGLEFINANCE(""Currency:HKDEUR""),
IF($D20=""KRW"",'Original Data'!P20*GOOGLEFINANCE("&amp;"""Currency:KRWEUR""),""""))))))))"),4.32)</f>
        <v>4.32</v>
      </c>
      <c r="Q20" s="8">
        <f>IFERROR(__xludf.DUMMYFUNCTION("IF('Original Data'!Q20=""-"",""-"",
IF($D20=""Euro"",'Original Data'!Q20,
IF($D20=""Dolar"",'Original Data'!Q20*GOOGLEFINANCE(""Currency:USDEUR""),
IF($D20=""Franco Suíço"",'Original Data'!Q20*GOOGLEFINANCE(""Currency:CHFEUR""),
IF($D20=""Libra Esterlina"&amp;""", 'Original Data'!Q20*GOOGLEFINANCE(""Currency:GBPEUR""),
IF($D20=""Iene"",'Original Data'!Q20*GOOGLEFINANCE(""Currency:JPYEUR""),
IF($D20=""HKD"",'Original Data'!Q20*GOOGLEFINANCE(""Currency:HKDEUR""),
IF($D20=""KRW"",'Original Data'!Q20*GOOGLEFINANCE("&amp;"""Currency:KRWEUR""),""""))))))))"),3.77)</f>
        <v>3.77</v>
      </c>
      <c r="R20" s="8">
        <f>IFERROR(__xludf.DUMMYFUNCTION("IF('Original Data'!R20=""-"",""-"",
IF($D20=""Euro"",'Original Data'!R20,
IF($D20=""Dolar"",'Original Data'!R20*GOOGLEFINANCE(""Currency:USDEUR""),
IF($D20=""Franco Suíço"",'Original Data'!R20*GOOGLEFINANCE(""Currency:CHFEUR""),
IF($D20=""Libra Esterlina"&amp;""", 'Original Data'!R20*GOOGLEFINANCE(""Currency:GBPEUR""),
IF($D20=""Iene"",'Original Data'!R20*GOOGLEFINANCE(""Currency:JPYEUR""),
IF($D20=""HKD"",'Original Data'!R20*GOOGLEFINANCE(""Currency:HKDEUR""),
IF($D20=""KRW"",'Original Data'!R20*GOOGLEFINANCE("&amp;"""Currency:KRWEUR""),""""))))))))"),4.84)</f>
        <v>4.84</v>
      </c>
      <c r="S20" s="8">
        <f>IFERROR(__xludf.DUMMYFUNCTION("IF('Original Data'!S20=""-"",""-"",
IF($D20=""Euro"",'Original Data'!S20,
IF($D20=""Dolar"",'Original Data'!S20*GOOGLEFINANCE(""Currency:USDEUR""),
IF($D20=""Franco Suíço"",'Original Data'!S20*GOOGLEFINANCE(""Currency:CHFEUR""),
IF($D20=""Libra Esterlina"&amp;""", 'Original Data'!S20*GOOGLEFINANCE(""Currency:GBPEUR""),
IF($D20=""Iene"",'Original Data'!S20*GOOGLEFINANCE(""Currency:JPYEUR""),
IF($D20=""HKD"",'Original Data'!S20*GOOGLEFINANCE(""Currency:HKDEUR""),
IF($D20=""KRW"",'Original Data'!S20*GOOGLEFINANCE("&amp;"""Currency:KRWEUR""),""""))))))))"),0.32685)</f>
        <v>0.32685</v>
      </c>
      <c r="T20" s="8">
        <f>IFERROR(__xludf.DUMMYFUNCTION("IF('Original Data'!T20=""-"",""-"",
IF($D20=""Euro"",'Original Data'!T20,
IF($D20=""Dolar"",'Original Data'!T20*GOOGLEFINANCE(""Currency:USDEUR""),
IF($D20=""Franco Suíço"",'Original Data'!T20*GOOGLEFINANCE(""Currency:CHFEUR""),
IF($D20=""Libra Esterlina"&amp;""", 'Original Data'!T20*GOOGLEFINANCE(""Currency:GBPEUR""),
IF($D20=""Iene"",'Original Data'!T20*GOOGLEFINANCE(""Currency:JPYEUR""),
IF($D20=""HKD"",'Original Data'!T20*GOOGLEFINANCE(""Currency:HKDEUR""),
IF($D20=""KRW"",'Original Data'!T20*GOOGLEFINANCE("&amp;"""Currency:KRWEUR""),""""))))))))"),0.44446)</f>
        <v>0.44446</v>
      </c>
      <c r="U20" s="8">
        <f>IFERROR(__xludf.DUMMYFUNCTION("IF('Original Data'!U20=""-"",""-"",
IF($D20=""Euro"",'Original Data'!U20,
IF($D20=""Dolar"",'Original Data'!U20*GOOGLEFINANCE(""Currency:USDEUR""),
IF($D20=""Franco Suíço"",'Original Data'!U20*GOOGLEFINANCE(""Currency:CHFEUR""),
IF($D20=""Libra Esterlina"&amp;""", 'Original Data'!U20*GOOGLEFINANCE(""Currency:GBPEUR""),
IF($D20=""Iene"",'Original Data'!U20*GOOGLEFINANCE(""Currency:JPYEUR""),
IF($D20=""HKD"",'Original Data'!U20*GOOGLEFINANCE(""Currency:HKDEUR""),
IF($D20=""KRW"",'Original Data'!U20*GOOGLEFINANCE("&amp;"""Currency:KRWEUR""),""""))))))))"),0.46045)</f>
        <v>0.46045</v>
      </c>
      <c r="V20" s="8">
        <f>IFERROR(__xludf.DUMMYFUNCTION("IF('Original Data'!V20=""-"",""-"",
IF($D20=""Euro"",'Original Data'!V20,
IF($D20=""Dolar"",'Original Data'!V20*GOOGLEFINANCE(""Currency:USDEUR""),
IF($D20=""Franco Suíço"",'Original Data'!V20*GOOGLEFINANCE(""Currency:CHFEUR""),
IF($D20=""Libra Esterlina"&amp;""", 'Original Data'!V20*GOOGLEFINANCE(""Currency:GBPEUR""),
IF($D20=""Iene"",'Original Data'!V20*GOOGLEFINANCE(""Currency:JPYEUR""),
IF($D20=""HKD"",'Original Data'!V20*GOOGLEFINANCE(""Currency:HKDEUR""),
IF($D20=""KRW"",'Original Data'!V20*GOOGLEFINANCE("&amp;"""Currency:KRWEUR""),""""))))))))"),0.6433)</f>
        <v>0.6433</v>
      </c>
      <c r="W20" s="7" t="s">
        <v>55</v>
      </c>
      <c r="X20" s="7" t="s">
        <v>55</v>
      </c>
      <c r="Y20" s="7" t="s">
        <v>41</v>
      </c>
      <c r="Z20" s="7" t="s">
        <v>41</v>
      </c>
      <c r="AA20" s="7" t="s">
        <v>41</v>
      </c>
      <c r="AB20" s="7" t="s">
        <v>41</v>
      </c>
      <c r="AC20" s="7" t="s">
        <v>41</v>
      </c>
      <c r="AD20" s="7" t="s">
        <v>41</v>
      </c>
      <c r="AE20" s="7" t="s">
        <v>41</v>
      </c>
      <c r="AF20" s="7" t="s">
        <v>41</v>
      </c>
      <c r="AG20" s="7" t="s">
        <v>41</v>
      </c>
    </row>
    <row r="21">
      <c r="A21" s="16" t="s">
        <v>99</v>
      </c>
      <c r="B21" s="16" t="s">
        <v>100</v>
      </c>
      <c r="C21" s="16" t="s">
        <v>101</v>
      </c>
      <c r="D21" s="7" t="s">
        <v>33</v>
      </c>
      <c r="E21" s="8">
        <f>IFERROR(__xludf.DUMMYFUNCTION("IF($D21=""Euro"",'Original Data'!E21,
IF($D21=""Dolar"",'Original Data'!E21*GOOGLEFINANCE(""Currency:USDEUR""),
IF($D21=""Franco Suíço"",'Original Data'!E21*GOOGLEFINANCE(""Currency:CHFEUR""),
IF($D21=""Libra Esterlina"", 'Original Data'!E21*GOOGLEFINANCE"&amp;"(""Currency:GBPEUR""),
IF($D21=""Iene"",'Original Data'!E21*GOOGLEFINANCE(""Currency:JPYEUR""),
IF($D21=""HKD"",'Original Data'!E21*GOOGLEFINANCE(""Currency:HKDEUR""),
IF($D21=""KRW"",'Original Data'!E21*GOOGLEFINANCE(""Currency:KRWEUR""),"""")))))))"),23.35)</f>
        <v>23.35</v>
      </c>
      <c r="F21" s="8">
        <f>IFERROR(__xludf.DUMMYFUNCTION("IF($D21=""Euro"",'Original Data'!F21,
IF($D21=""Dolar"",'Original Data'!F21*GOOGLEFINANCE(""Currency:USDEUR""),
IF($D21=""Franco Suíço"",'Original Data'!F21*GOOGLEFINANCE(""Currency:CHFEUR""),
IF($D21=""Libra Esterlina"", 'Original Data'!F21*GOOGLEFINANCE"&amp;"(""Currency:GBPEUR""),
IF($D21=""Iene"",'Original Data'!F21*GOOGLEFINANCE(""Currency:JPYEUR""),
IF($D21=""HKD"",'Original Data'!F21*GOOGLEFINANCE(""Currency:HKDEUR""),
IF($D21=""KRW"",'Original Data'!F21*GOOGLEFINANCE(""Currency:KRWEUR""),"""")))))))"),50.35)</f>
        <v>50.35</v>
      </c>
      <c r="G21" s="8">
        <f>IFERROR(__xludf.DUMMYFUNCTION("IF($D21=""Euro"",'Original Data'!G21,
IF($D21=""Dolar"",'Original Data'!G21*GOOGLEFINANCE(""Currency:USDEUR""),
IF($D21=""Franco Suíço"",'Original Data'!G21*GOOGLEFINANCE(""Currency:CHFEUR""),
IF($D21=""Libra Esterlina"", 'Original Data'!G21*GOOGLEFINANCE"&amp;"(""Currency:GBPEUR""),
IF($D21=""Iene"",'Original Data'!G21*GOOGLEFINANCE(""Currency:JPYEUR""),
IF($D21=""HKD"",'Original Data'!G21*GOOGLEFINANCE(""Currency:HKDEUR""),
IF($D21=""KRW"",'Original Data'!G21*GOOGLEFINANCE(""Currency:KRWEUR""),"""")))))))"),1.24)</f>
        <v>1.24</v>
      </c>
      <c r="H21" s="17">
        <v>0.03112</v>
      </c>
      <c r="I21" s="7">
        <v>15.92</v>
      </c>
      <c r="J21" s="9">
        <v>0.0253</v>
      </c>
      <c r="K21" s="9">
        <v>0.0845</v>
      </c>
      <c r="L21" s="9">
        <v>0.0701</v>
      </c>
      <c r="M21" s="9">
        <v>0.1698</v>
      </c>
      <c r="N21" s="8">
        <f>IFERROR(__xludf.DUMMYFUNCTION("IF('Original Data'!N21=""-"",""-"",
IF($D21=""Euro"",'Original Data'!N21,
IF($D21=""Dolar"",'Original Data'!N21*GOOGLEFINANCE(""Currency:USDEUR""),
IF($D21=""Franco Suíço"",'Original Data'!N21*GOOGLEFINANCE(""Currency:CHFEUR""),
IF($D21=""Libra Esterlina"&amp;""", 'Original Data'!N21*GOOGLEFINANCE(""Currency:GBPEUR""),
IF($D21=""Iene"",'Original Data'!N21*GOOGLEFINANCE(""Currency:JPYEUR""),
IF($D21=""HKD"",'Original Data'!N21*GOOGLEFINANCE(""Currency:HKDEUR""),
IF($D21=""KRW"",'Original Data'!N21*GOOGLEFINANCE("&amp;"""Currency:KRWEUR""),""""))))))))"),2.97)</f>
        <v>2.97</v>
      </c>
      <c r="O21" s="8">
        <f>IFERROR(__xludf.DUMMYFUNCTION("IF('Original Data'!O21=""-"",""-"",
IF($D21=""Euro"",'Original Data'!O21,
IF($D21=""Dolar"",'Original Data'!O21*GOOGLEFINANCE(""Currency:USDEUR""),
IF($D21=""Franco Suíço"",'Original Data'!O21*GOOGLEFINANCE(""Currency:CHFEUR""),
IF($D21=""Libra Esterlina"&amp;""", 'Original Data'!O21*GOOGLEFINANCE(""Currency:GBPEUR""),
IF($D21=""Iene"",'Original Data'!O21*GOOGLEFINANCE(""Currency:JPYEUR""),
IF($D21=""HKD"",'Original Data'!O21*GOOGLEFINANCE(""Currency:HKDEUR""),
IF($D21=""KRW"",'Original Data'!O21*GOOGLEFINANCE("&amp;"""Currency:KRWEUR""),""""))))))))"),0.96256)</f>
        <v>0.96256</v>
      </c>
      <c r="P21" s="8">
        <f>IFERROR(__xludf.DUMMYFUNCTION("IF('Original Data'!P21=""-"",""-"",
IF($D21=""Euro"",'Original Data'!P21,
IF($D21=""Dolar"",'Original Data'!P21*GOOGLEFINANCE(""Currency:USDEUR""),
IF($D21=""Franco Suíço"",'Original Data'!P21*GOOGLEFINANCE(""Currency:CHFEUR""),
IF($D21=""Libra Esterlina"&amp;""", 'Original Data'!P21*GOOGLEFINANCE(""Currency:GBPEUR""),
IF($D21=""Iene"",'Original Data'!P21*GOOGLEFINANCE(""Currency:JPYEUR""),
IF($D21=""HKD"",'Original Data'!P21*GOOGLEFINANCE(""Currency:HKDEUR""),
IF($D21=""KRW"",'Original Data'!P21*GOOGLEFINANCE("&amp;"""Currency:KRWEUR""),""""))))))))"),0.995134)</f>
        <v>0.995134</v>
      </c>
      <c r="Q21" s="8">
        <f>IFERROR(__xludf.DUMMYFUNCTION("IF('Original Data'!Q21=""-"",""-"",
IF($D21=""Euro"",'Original Data'!Q21,
IF($D21=""Dolar"",'Original Data'!Q21*GOOGLEFINANCE(""Currency:USDEUR""),
IF($D21=""Franco Suíço"",'Original Data'!Q21*GOOGLEFINANCE(""Currency:CHFEUR""),
IF($D21=""Libra Esterlina"&amp;""", 'Original Data'!Q21*GOOGLEFINANCE(""Currency:GBPEUR""),
IF($D21=""Iene"",'Original Data'!Q21*GOOGLEFINANCE(""Currency:JPYEUR""),
IF($D21=""HKD"",'Original Data'!Q21*GOOGLEFINANCE(""Currency:HKDEUR""),
IF($D21=""KRW"",'Original Data'!Q21*GOOGLEFINANCE("&amp;"""Currency:KRWEUR""),""""))))))))"),0.92213)</f>
        <v>0.92213</v>
      </c>
      <c r="R21" s="8">
        <f>IFERROR(__xludf.DUMMYFUNCTION("IF('Original Data'!R21=""-"",""-"",
IF($D21=""Euro"",'Original Data'!R21,
IF($D21=""Dolar"",'Original Data'!R21*GOOGLEFINANCE(""Currency:USDEUR""),
IF($D21=""Franco Suíço"",'Original Data'!R21*GOOGLEFINANCE(""Currency:CHFEUR""),
IF($D21=""Libra Esterlina"&amp;""", 'Original Data'!R21*GOOGLEFINANCE(""Currency:GBPEUR""),
IF($D21=""Iene"",'Original Data'!R21*GOOGLEFINANCE(""Currency:JPYEUR""),
IF($D21=""HKD"",'Original Data'!R21*GOOGLEFINANCE(""Currency:HKDEUR""),
IF($D21=""KRW"",'Original Data'!R21*GOOGLEFINANCE("&amp;"""Currency:KRWEUR""),""""))))))))"),0.93767)</f>
        <v>0.93767</v>
      </c>
      <c r="S21" s="8">
        <f>IFERROR(__xludf.DUMMYFUNCTION("IF('Original Data'!S21=""-"",""-"",
IF($D21=""Euro"",'Original Data'!S21,
IF($D21=""Dolar"",'Original Data'!S21*GOOGLEFINANCE(""Currency:USDEUR""),
IF($D21=""Franco Suíço"",'Original Data'!S21*GOOGLEFINANCE(""Currency:CHFEUR""),
IF($D21=""Libra Esterlina"&amp;""", 'Original Data'!S21*GOOGLEFINANCE(""Currency:GBPEUR""),
IF($D21=""Iene"",'Original Data'!S21*GOOGLEFINANCE(""Currency:JPYEUR""),
IF($D21=""HKD"",'Original Data'!S21*GOOGLEFINANCE(""Currency:HKDEUR""),
IF($D21=""KRW"",'Original Data'!S21*GOOGLEFINANCE("&amp;"""Currency:KRWEUR""),""""))))))))"),0.18711)</f>
        <v>0.18711</v>
      </c>
      <c r="T21" s="8">
        <f>IFERROR(__xludf.DUMMYFUNCTION("IF('Original Data'!T21=""-"",""-"",
IF($D21=""Euro"",'Original Data'!T21,
IF($D21=""Dolar"",'Original Data'!T21*GOOGLEFINANCE(""Currency:USDEUR""),
IF($D21=""Franco Suíço"",'Original Data'!T21*GOOGLEFINANCE(""Currency:CHFEUR""),
IF($D21=""Libra Esterlina"&amp;""", 'Original Data'!T21*GOOGLEFINANCE(""Currency:GBPEUR""),
IF($D21=""Iene"",'Original Data'!T21*GOOGLEFINANCE(""Currency:JPYEUR""),
IF($D21=""HKD"",'Original Data'!T21*GOOGLEFINANCE(""Currency:HKDEUR""),
IF($D21=""KRW"",'Original Data'!T21*GOOGLEFINANCE("&amp;"""Currency:KRWEUR""),""""))))))))"),0.17702)</f>
        <v>0.17702</v>
      </c>
      <c r="U21" s="8">
        <f>IFERROR(__xludf.DUMMYFUNCTION("IF('Original Data'!U21=""-"",""-"",
IF($D21=""Euro"",'Original Data'!U21,
IF($D21=""Dolar"",'Original Data'!U21*GOOGLEFINANCE(""Currency:USDEUR""),
IF($D21=""Franco Suíço"",'Original Data'!U21*GOOGLEFINANCE(""Currency:CHFEUR""),
IF($D21=""Libra Esterlina"&amp;""", 'Original Data'!U21*GOOGLEFINANCE(""Currency:GBPEUR""),
IF($D21=""Iene"",'Original Data'!U21*GOOGLEFINANCE(""Currency:JPYEUR""),
IF($D21=""HKD"",'Original Data'!U21*GOOGLEFINANCE(""Currency:HKDEUR""),
IF($D21=""KRW"",'Original Data'!U21*GOOGLEFINANCE("&amp;"""Currency:KRWEUR""),""""))))))))"),0.14744)</f>
        <v>0.14744</v>
      </c>
      <c r="V21" s="8">
        <f>IFERROR(__xludf.DUMMYFUNCTION("IF('Original Data'!V21=""-"",""-"",
IF($D21=""Euro"",'Original Data'!V21,
IF($D21=""Dolar"",'Original Data'!V21*GOOGLEFINANCE(""Currency:USDEUR""),
IF($D21=""Franco Suíço"",'Original Data'!V21*GOOGLEFINANCE(""Currency:CHFEUR""),
IF($D21=""Libra Esterlina"&amp;""", 'Original Data'!V21*GOOGLEFINANCE(""Currency:GBPEUR""),
IF($D21=""Iene"",'Original Data'!V21*GOOGLEFINANCE(""Currency:JPYEUR""),
IF($D21=""HKD"",'Original Data'!V21*GOOGLEFINANCE(""Currency:HKDEUR""),
IF($D21=""KRW"",'Original Data'!V21*GOOGLEFINANCE("&amp;"""Currency:KRWEUR""),""""))))))))"),0.018202)</f>
        <v>0.018202</v>
      </c>
      <c r="W21" s="7" t="s">
        <v>41</v>
      </c>
      <c r="X21" s="7" t="s">
        <v>41</v>
      </c>
      <c r="Y21" s="7" t="s">
        <v>41</v>
      </c>
      <c r="Z21" s="7" t="s">
        <v>41</v>
      </c>
      <c r="AA21" s="7" t="s">
        <v>41</v>
      </c>
      <c r="AB21" s="7" t="s">
        <v>41</v>
      </c>
      <c r="AC21" s="7" t="s">
        <v>41</v>
      </c>
      <c r="AD21" s="7" t="s">
        <v>41</v>
      </c>
      <c r="AE21" s="7" t="s">
        <v>41</v>
      </c>
      <c r="AF21" s="7" t="s">
        <v>41</v>
      </c>
      <c r="AG21" s="7" t="s">
        <v>41</v>
      </c>
    </row>
    <row r="22">
      <c r="A22" s="16" t="s">
        <v>102</v>
      </c>
      <c r="B22" s="16" t="s">
        <v>103</v>
      </c>
      <c r="C22" s="16" t="s">
        <v>104</v>
      </c>
      <c r="D22" s="7" t="s">
        <v>33</v>
      </c>
      <c r="E22" s="8">
        <f>IFERROR(__xludf.DUMMYFUNCTION("IF($D22=""Euro"",'Original Data'!E22,
IF($D22=""Dolar"",'Original Data'!E22*GOOGLEFINANCE(""Currency:USDEUR""),
IF($D22=""Franco Suíço"",'Original Data'!E22*GOOGLEFINANCE(""Currency:CHFEUR""),
IF($D22=""Libra Esterlina"", 'Original Data'!E22*GOOGLEFINANCE"&amp;"(""Currency:GBPEUR""),
IF($D22=""Iene"",'Original Data'!E22*GOOGLEFINANCE(""Currency:JPYEUR""),
IF($D22=""HKD"",'Original Data'!E22*GOOGLEFINANCE(""Currency:HKDEUR""),
IF($D22=""KRW"",'Original Data'!E22*GOOGLEFINANCE(""Currency:KRWEUR""),"""")))))))"),7.01)</f>
        <v>7.01</v>
      </c>
      <c r="F22" s="8">
        <f>IFERROR(__xludf.DUMMYFUNCTION("IF($D22=""Euro"",'Original Data'!F22,
IF($D22=""Dolar"",'Original Data'!F22*GOOGLEFINANCE(""Currency:USDEUR""),
IF($D22=""Franco Suíço"",'Original Data'!F22*GOOGLEFINANCE(""Currency:CHFEUR""),
IF($D22=""Libra Esterlina"", 'Original Data'!F22*GOOGLEFINANCE"&amp;"(""Currency:GBPEUR""),
IF($D22=""Iene"",'Original Data'!F22*GOOGLEFINANCE(""Currency:JPYEUR""),
IF($D22=""HKD"",'Original Data'!F22*GOOGLEFINANCE(""Currency:HKDEUR""),
IF($D22=""KRW"",'Original Data'!F22*GOOGLEFINANCE(""Currency:KRWEUR""),"""")))))))"),2.83)</f>
        <v>2.83</v>
      </c>
      <c r="G22" s="8">
        <f>IFERROR(__xludf.DUMMYFUNCTION("IF($D22=""Euro"",'Original Data'!G22,
IF($D22=""Dolar"",'Original Data'!G22*GOOGLEFINANCE(""Currency:USDEUR""),
IF($D22=""Franco Suíço"",'Original Data'!G22*GOOGLEFINANCE(""Currency:CHFEUR""),
IF($D22=""Libra Esterlina"", 'Original Data'!G22*GOOGLEFINANCE"&amp;"(""Currency:GBPEUR""),
IF($D22=""Iene"",'Original Data'!G22*GOOGLEFINANCE(""Currency:JPYEUR""),
IF($D22=""HKD"",'Original Data'!G22*GOOGLEFINANCE(""Currency:HKDEUR""),
IF($D22=""KRW"",'Original Data'!G22*GOOGLEFINANCE(""Currency:KRWEUR""),"""")))))))"),0.381)</f>
        <v>0.381</v>
      </c>
      <c r="H22" s="17">
        <v>0.22757</v>
      </c>
      <c r="I22" s="7">
        <v>11.16</v>
      </c>
      <c r="J22" s="7" t="s">
        <v>51</v>
      </c>
      <c r="K22" s="9">
        <v>0.039</v>
      </c>
      <c r="L22" s="9">
        <v>0.0261</v>
      </c>
      <c r="M22" s="9">
        <v>0.0568</v>
      </c>
      <c r="N22" s="8">
        <f>IFERROR(__xludf.DUMMYFUNCTION("IF('Original Data'!N22=""-"",""-"",
IF($D22=""Euro"",'Original Data'!N22,
IF($D22=""Dolar"",'Original Data'!N22*GOOGLEFINANCE(""Currency:USDEUR""),
IF($D22=""Franco Suíço"",'Original Data'!N22*GOOGLEFINANCE(""Currency:CHFEUR""),
IF($D22=""Libra Esterlina"&amp;""", 'Original Data'!N22*GOOGLEFINANCE(""Currency:GBPEUR""),
IF($D22=""Iene"",'Original Data'!N22*GOOGLEFINANCE(""Currency:JPYEUR""),
IF($D22=""HKD"",'Original Data'!N22*GOOGLEFINANCE(""Currency:HKDEUR""),
IF($D22=""KRW"",'Original Data'!N22*GOOGLEFINANCE("&amp;"""Currency:KRWEUR""),""""))))))))"),0.25)</f>
        <v>0.25</v>
      </c>
      <c r="O22" s="8">
        <f>IFERROR(__xludf.DUMMYFUNCTION("IF('Original Data'!O22=""-"",""-"",
IF($D22=""Euro"",'Original Data'!O22,
IF($D22=""Dolar"",'Original Data'!O22*GOOGLEFINANCE(""Currency:USDEUR""),
IF($D22=""Franco Suíço"",'Original Data'!O22*GOOGLEFINANCE(""Currency:CHFEUR""),
IF($D22=""Libra Esterlina"&amp;""", 'Original Data'!O22*GOOGLEFINANCE(""Currency:GBPEUR""),
IF($D22=""Iene"",'Original Data'!O22*GOOGLEFINANCE(""Currency:JPYEUR""),
IF($D22=""HKD"",'Original Data'!O22*GOOGLEFINANCE(""Currency:HKDEUR""),
IF($D22=""KRW"",'Original Data'!O22*GOOGLEFINANCE("&amp;"""Currency:KRWEUR""),""""))))))))"),0.67423)</f>
        <v>0.67423</v>
      </c>
      <c r="P22" s="8">
        <f>IFERROR(__xludf.DUMMYFUNCTION("IF('Original Data'!P22=""-"",""-"",
IF($D22=""Euro"",'Original Data'!P22,
IF($D22=""Dolar"",'Original Data'!P22*GOOGLEFINANCE(""Currency:USDEUR""),
IF($D22=""Franco Suíço"",'Original Data'!P22*GOOGLEFINANCE(""Currency:CHFEUR""),
IF($D22=""Libra Esterlina"&amp;""", 'Original Data'!P22*GOOGLEFINANCE(""Currency:GBPEUR""),
IF($D22=""Iene"",'Original Data'!P22*GOOGLEFINANCE(""Currency:JPYEUR""),
IF($D22=""HKD"",'Original Data'!P22*GOOGLEFINANCE(""Currency:HKDEUR""),
IF($D22=""KRW"",'Original Data'!P22*GOOGLEFINANCE("&amp;"""Currency:KRWEUR""),""""))))))))"),0.63381)</f>
        <v>0.63381</v>
      </c>
      <c r="Q22" s="8">
        <f>IFERROR(__xludf.DUMMYFUNCTION("IF('Original Data'!Q22=""-"",""-"",
IF($D22=""Euro"",'Original Data'!Q22,
IF($D22=""Dolar"",'Original Data'!Q22*GOOGLEFINANCE(""Currency:USDEUR""),
IF($D22=""Franco Suíço"",'Original Data'!Q22*GOOGLEFINANCE(""Currency:CHFEUR""),
IF($D22=""Libra Esterlina"&amp;""", 'Original Data'!Q22*GOOGLEFINANCE(""Currency:GBPEUR""),
IF($D22=""Iene"",'Original Data'!Q22*GOOGLEFINANCE(""Currency:JPYEUR""),
IF($D22=""HKD"",'Original Data'!Q22*GOOGLEFINANCE(""Currency:HKDEUR""),
IF($D22=""KRW"",'Original Data'!Q22*GOOGLEFINANCE("&amp;"""Currency:KRWEUR""),""""))))))))"),0.64219)</f>
        <v>0.64219</v>
      </c>
      <c r="R22" s="8">
        <f>IFERROR(__xludf.DUMMYFUNCTION("IF('Original Data'!R22=""-"",""-"",
IF($D22=""Euro"",'Original Data'!R22,
IF($D22=""Dolar"",'Original Data'!R22*GOOGLEFINANCE(""Currency:USDEUR""),
IF($D22=""Franco Suíço"",'Original Data'!R22*GOOGLEFINANCE(""Currency:CHFEUR""),
IF($D22=""Libra Esterlina"&amp;""", 'Original Data'!R22*GOOGLEFINANCE(""Currency:GBPEUR""),
IF($D22=""Iene"",'Original Data'!R22*GOOGLEFINANCE(""Currency:JPYEUR""),
IF($D22=""HKD"",'Original Data'!R22*GOOGLEFINANCE(""Currency:HKDEUR""),
IF($D22=""KRW"",'Original Data'!R22*GOOGLEFINANCE("&amp;"""Currency:KRWEUR""),""""))))))))"),0.8381)</f>
        <v>0.8381</v>
      </c>
      <c r="S22" s="8">
        <f>IFERROR(__xludf.DUMMYFUNCTION("IF('Original Data'!S22=""-"",""-"",
IF($D22=""Euro"",'Original Data'!S22,
IF($D22=""Dolar"",'Original Data'!S22*GOOGLEFINANCE(""Currency:USDEUR""),
IF($D22=""Franco Suíço"",'Original Data'!S22*GOOGLEFINANCE(""Currency:CHFEUR""),
IF($D22=""Libra Esterlina"&amp;""", 'Original Data'!S22*GOOGLEFINANCE(""Currency:GBPEUR""),
IF($D22=""Iene"",'Original Data'!S22*GOOGLEFINANCE(""Currency:JPYEUR""),
IF($D22=""HKD"",'Original Data'!S22*GOOGLEFINANCE(""Currency:HKDEUR""),
IF($D22=""KRW"",'Original Data'!S22*GOOGLEFINANCE("&amp;"""Currency:KRWEUR""),""""))))))))"),0.06996)</f>
        <v>0.06996</v>
      </c>
      <c r="T22" s="8">
        <f>IFERROR(__xludf.DUMMYFUNCTION("IF('Original Data'!T22=""-"",""-"",
IF($D22=""Euro"",'Original Data'!T22,
IF($D22=""Dolar"",'Original Data'!T22*GOOGLEFINANCE(""Currency:USDEUR""),
IF($D22=""Franco Suíço"",'Original Data'!T22*GOOGLEFINANCE(""Currency:CHFEUR""),
IF($D22=""Libra Esterlina"&amp;""", 'Original Data'!T22*GOOGLEFINANCE(""Currency:GBPEUR""),
IF($D22=""Iene"",'Original Data'!T22*GOOGLEFINANCE(""Currency:JPYEUR""),
IF($D22=""HKD"",'Original Data'!T22*GOOGLEFINANCE(""Currency:HKDEUR""),
IF($D22=""KRW"",'Original Data'!T22*GOOGLEFINANCE("&amp;"""Currency:KRWEUR""),""""))))))))"),0.04619)</f>
        <v>0.04619</v>
      </c>
      <c r="U22" s="8">
        <f>IFERROR(__xludf.DUMMYFUNCTION("IF('Original Data'!U22=""-"",""-"",
IF($D22=""Euro"",'Original Data'!U22,
IF($D22=""Dolar"",'Original Data'!U22*GOOGLEFINANCE(""Currency:USDEUR""),
IF($D22=""Franco Suíço"",'Original Data'!U22*GOOGLEFINANCE(""Currency:CHFEUR""),
IF($D22=""Libra Esterlina"&amp;""", 'Original Data'!U22*GOOGLEFINANCE(""Currency:GBPEUR""),
IF($D22=""Iene"",'Original Data'!U22*GOOGLEFINANCE(""Currency:JPYEUR""),
IF($D22=""HKD"",'Original Data'!U22*GOOGLEFINANCE(""Currency:HKDEUR""),
IF($D22=""KRW"",'Original Data'!U22*GOOGLEFINANCE("&amp;"""Currency:KRWEUR""),""""))))))))"),0.08)</f>
        <v>0.08</v>
      </c>
      <c r="V22" s="8">
        <f>IFERROR(__xludf.DUMMYFUNCTION("IF('Original Data'!V22=""-"",""-"",
IF($D22=""Euro"",'Original Data'!V22,
IF($D22=""Dolar"",'Original Data'!V22*GOOGLEFINANCE(""Currency:USDEUR""),
IF($D22=""Franco Suíço"",'Original Data'!V22*GOOGLEFINANCE(""Currency:CHFEUR""),
IF($D22=""Libra Esterlina"&amp;""", 'Original Data'!V22*GOOGLEFINANCE(""Currency:GBPEUR""),
IF($D22=""Iene"",'Original Data'!V22*GOOGLEFINANCE(""Currency:JPYEUR""),
IF($D22=""HKD"",'Original Data'!V22*GOOGLEFINANCE(""Currency:HKDEUR""),
IF($D22=""KRW"",'Original Data'!V22*GOOGLEFINANCE("&amp;"""Currency:KRWEUR""),""""))))))))"),0.08511)</f>
        <v>0.08511</v>
      </c>
      <c r="W22" s="7" t="s">
        <v>59</v>
      </c>
      <c r="X22" s="7" t="s">
        <v>55</v>
      </c>
      <c r="Y22" s="7" t="s">
        <v>41</v>
      </c>
      <c r="Z22" s="7" t="s">
        <v>41</v>
      </c>
      <c r="AA22" s="7" t="s">
        <v>41</v>
      </c>
      <c r="AB22" s="7" t="s">
        <v>41</v>
      </c>
      <c r="AC22" s="7" t="s">
        <v>41</v>
      </c>
      <c r="AD22" s="7" t="s">
        <v>41</v>
      </c>
      <c r="AE22" s="7" t="s">
        <v>41</v>
      </c>
      <c r="AF22" s="7" t="s">
        <v>41</v>
      </c>
      <c r="AG22" s="7" t="s">
        <v>41</v>
      </c>
    </row>
    <row r="23">
      <c r="A23" s="16" t="s">
        <v>105</v>
      </c>
      <c r="B23" s="16" t="s">
        <v>106</v>
      </c>
      <c r="C23" s="16" t="s">
        <v>107</v>
      </c>
      <c r="D23" s="7" t="s">
        <v>33</v>
      </c>
      <c r="E23" s="8">
        <f>IFERROR(__xludf.DUMMYFUNCTION("IF($D23=""Euro"",'Original Data'!E23,
IF($D23=""Dolar"",'Original Data'!E23*GOOGLEFINANCE(""Currency:USDEUR""),
IF($D23=""Franco Suíço"",'Original Data'!E23*GOOGLEFINANCE(""Currency:CHFEUR""),
IF($D23=""Libra Esterlina"", 'Original Data'!E23*GOOGLEFINANCE"&amp;"(""Currency:GBPEUR""),
IF($D23=""Iene"",'Original Data'!E23*GOOGLEFINANCE(""Currency:JPYEUR""),
IF($D23=""HKD"",'Original Data'!E23*GOOGLEFINANCE(""Currency:HKDEUR""),
IF($D23=""KRW"",'Original Data'!E23*GOOGLEFINANCE(""Currency:KRWEUR""),"""")))))))"),216.89)</f>
        <v>216.89</v>
      </c>
      <c r="F23" s="8">
        <f>IFERROR(__xludf.DUMMYFUNCTION("IF($D23=""Euro"",'Original Data'!F23,
IF($D23=""Dolar"",'Original Data'!F23*GOOGLEFINANCE(""Currency:USDEUR""),
IF($D23=""Franco Suíço"",'Original Data'!F23*GOOGLEFINANCE(""Currency:CHFEUR""),
IF($D23=""Libra Esterlina"", 'Original Data'!F23*GOOGLEFINANCE"&amp;"(""Currency:GBPEUR""),
IF($D23=""Iene"",'Original Data'!F23*GOOGLEFINANCE(""Currency:JPYEUR""),
IF($D23=""HKD"",'Original Data'!F23*GOOGLEFINANCE(""Currency:HKDEUR""),
IF($D23=""KRW"",'Original Data'!F23*GOOGLEFINANCE(""Currency:KRWEUR""),"""")))))))"),240.0)</f>
        <v>240</v>
      </c>
      <c r="G23" s="8">
        <f>IFERROR(__xludf.DUMMYFUNCTION("IF($D23=""Euro"",'Original Data'!G23,
IF($D23=""Dolar"",'Original Data'!G23*GOOGLEFINANCE(""Currency:USDEUR""),
IF($D23=""Franco Suíço"",'Original Data'!G23*GOOGLEFINANCE(""Currency:CHFEUR""),
IF($D23=""Libra Esterlina"", 'Original Data'!G23*GOOGLEFINANCE"&amp;"(""Currency:GBPEUR""),
IF($D23=""Iene"",'Original Data'!G23*GOOGLEFINANCE(""Currency:JPYEUR""),
IF($D23=""HKD"",'Original Data'!G23*GOOGLEFINANCE(""Currency:HKDEUR""),
IF($D23=""KRW"",'Original Data'!G23*GOOGLEFINANCE(""Currency:KRWEUR""),"""")))))))"),33.65)</f>
        <v>33.65</v>
      </c>
      <c r="H23" s="17">
        <v>0.498115</v>
      </c>
      <c r="I23" s="7">
        <v>11.47</v>
      </c>
      <c r="J23" s="9">
        <v>0.0458</v>
      </c>
      <c r="K23" s="7" t="s">
        <v>51</v>
      </c>
      <c r="L23" s="9">
        <v>0.0065</v>
      </c>
      <c r="M23" s="9">
        <v>0.0695</v>
      </c>
      <c r="N23" s="8">
        <f>IFERROR(__xludf.DUMMYFUNCTION("IF('Original Data'!N23=""-"",""-"",
IF($D23=""Euro"",'Original Data'!N23,
IF($D23=""Dolar"",'Original Data'!N23*GOOGLEFINANCE(""Currency:USDEUR""),
IF($D23=""Franco Suíço"",'Original Data'!N23*GOOGLEFINANCE(""Currency:CHFEUR""),
IF($D23=""Libra Esterlina"&amp;""", 'Original Data'!N23*GOOGLEFINANCE(""Currency:GBPEUR""),
IF($D23=""Iene"",'Original Data'!N23*GOOGLEFINANCE(""Currency:JPYEUR""),
IF($D23=""HKD"",'Original Data'!N23*GOOGLEFINANCE(""Currency:HKDEUR""),
IF($D23=""KRW"",'Original Data'!N23*GOOGLEFINANCE("&amp;"""Currency:KRWEUR""),""""))))))))"),20.94)</f>
        <v>20.94</v>
      </c>
      <c r="O23" s="8">
        <f>IFERROR(__xludf.DUMMYFUNCTION("IF('Original Data'!O23=""-"",""-"",
IF($D23=""Euro"",'Original Data'!O23,
IF($D23=""Dolar"",'Original Data'!O23*GOOGLEFINANCE(""Currency:USDEUR""),
IF($D23=""Franco Suíço"",'Original Data'!O23*GOOGLEFINANCE(""Currency:CHFEUR""),
IF($D23=""Libra Esterlina"&amp;""", 'Original Data'!O23*GOOGLEFINANCE(""Currency:GBPEUR""),
IF($D23=""Iene"",'Original Data'!O23*GOOGLEFINANCE(""Currency:JPYEUR""),
IF($D23=""HKD"",'Original Data'!O23*GOOGLEFINANCE(""Currency:HKDEUR""),
IF($D23=""KRW"",'Original Data'!O23*GOOGLEFINANCE("&amp;"""Currency:KRWEUR""),""""))))))))"),57.34)</f>
        <v>57.34</v>
      </c>
      <c r="P23" s="8">
        <f>IFERROR(__xludf.DUMMYFUNCTION("IF('Original Data'!P23=""-"",""-"",
IF($D23=""Euro"",'Original Data'!P23,
IF($D23=""Dolar"",'Original Data'!P23*GOOGLEFINANCE(""Currency:USDEUR""),
IF($D23=""Franco Suíço"",'Original Data'!P23*GOOGLEFINANCE(""Currency:CHFEUR""),
IF($D23=""Libra Esterlina"&amp;""", 'Original Data'!P23*GOOGLEFINANCE(""Currency:GBPEUR""),
IF($D23=""Iene"",'Original Data'!P23*GOOGLEFINANCE(""Currency:JPYEUR""),
IF($D23=""HKD"",'Original Data'!P23*GOOGLEFINANCE(""Currency:HKDEUR""),
IF($D23=""KRW"",'Original Data'!P23*GOOGLEFINANCE("&amp;"""Currency:KRWEUR""),""""))))))))"),64.85)</f>
        <v>64.85</v>
      </c>
      <c r="Q23" s="8">
        <f>IFERROR(__xludf.DUMMYFUNCTION("IF('Original Data'!Q23=""-"",""-"",
IF($D23=""Euro"",'Original Data'!Q23,
IF($D23=""Dolar"",'Original Data'!Q23*GOOGLEFINANCE(""Currency:USDEUR""),
IF($D23=""Franco Suíço"",'Original Data'!Q23*GOOGLEFINANCE(""Currency:CHFEUR""),
IF($D23=""Libra Esterlina"&amp;""", 'Original Data'!Q23*GOOGLEFINANCE(""Currency:GBPEUR""),
IF($D23=""Iene"",'Original Data'!Q23*GOOGLEFINANCE(""Currency:JPYEUR""),
IF($D23=""HKD"",'Original Data'!Q23*GOOGLEFINANCE(""Currency:HKDEUR""),
IF($D23=""KRW"",'Original Data'!Q23*GOOGLEFINANCE("&amp;"""Currency:KRWEUR""),""""))))))))"),66.44)</f>
        <v>66.44</v>
      </c>
      <c r="R23" s="8">
        <f>IFERROR(__xludf.DUMMYFUNCTION("IF('Original Data'!R23=""-"",""-"",
IF($D23=""Euro"",'Original Data'!R23,
IF($D23=""Dolar"",'Original Data'!R23*GOOGLEFINANCE(""Currency:USDEUR""),
IF($D23=""Franco Suíço"",'Original Data'!R23*GOOGLEFINANCE(""Currency:CHFEUR""),
IF($D23=""Libra Esterlina"&amp;""", 'Original Data'!R23*GOOGLEFINANCE(""Currency:GBPEUR""),
IF($D23=""Iene"",'Original Data'!R23*GOOGLEFINANCE(""Currency:JPYEUR""),
IF($D23=""HKD"",'Original Data'!R23*GOOGLEFINANCE(""Currency:HKDEUR""),
IF($D23=""KRW"",'Original Data'!R23*GOOGLEFINANCE("&amp;"""Currency:KRWEUR""),""""))))))))"),70.24)</f>
        <v>70.24</v>
      </c>
      <c r="S23" s="8" t="str">
        <f>IFERROR(__xludf.DUMMYFUNCTION("IF('Original Data'!S23=""-"",""-"",
IF($D23=""Euro"",'Original Data'!S23,
IF($D23=""Dolar"",'Original Data'!S23*GOOGLEFINANCE(""Currency:USDEUR""),
IF($D23=""Franco Suíço"",'Original Data'!S23*GOOGLEFINANCE(""Currency:CHFEUR""),
IF($D23=""Libra Esterlina"&amp;""", 'Original Data'!S23*GOOGLEFINANCE(""Currency:GBPEUR""),
IF($D23=""Iene"",'Original Data'!S23*GOOGLEFINANCE(""Currency:JPYEUR""),
IF($D23=""HKD"",'Original Data'!S23*GOOGLEFINANCE(""Currency:HKDEUR""),
IF($D23=""KRW"",'Original Data'!S23*GOOGLEFINANCE("&amp;"""Currency:KRWEUR""),""""))))))))"),"-")</f>
        <v>-</v>
      </c>
      <c r="T23" s="8" t="str">
        <f>IFERROR(__xludf.DUMMYFUNCTION("IF('Original Data'!T23=""-"",""-"",
IF($D23=""Euro"",'Original Data'!T23,
IF($D23=""Dolar"",'Original Data'!T23*GOOGLEFINANCE(""Currency:USDEUR""),
IF($D23=""Franco Suíço"",'Original Data'!T23*GOOGLEFINANCE(""Currency:CHFEUR""),
IF($D23=""Libra Esterlina"&amp;""", 'Original Data'!T23*GOOGLEFINANCE(""Currency:GBPEUR""),
IF($D23=""Iene"",'Original Data'!T23*GOOGLEFINANCE(""Currency:JPYEUR""),
IF($D23=""HKD"",'Original Data'!T23*GOOGLEFINANCE(""Currency:HKDEUR""),
IF($D23=""KRW"",'Original Data'!T23*GOOGLEFINANCE("&amp;"""Currency:KRWEUR""),""""))))))))"),"-")</f>
        <v>-</v>
      </c>
      <c r="U23" s="8" t="str">
        <f>IFERROR(__xludf.DUMMYFUNCTION("IF('Original Data'!U23=""-"",""-"",
IF($D23=""Euro"",'Original Data'!U23,
IF($D23=""Dolar"",'Original Data'!U23*GOOGLEFINANCE(""Currency:USDEUR""),
IF($D23=""Franco Suíço"",'Original Data'!U23*GOOGLEFINANCE(""Currency:CHFEUR""),
IF($D23=""Libra Esterlina"&amp;""", 'Original Data'!U23*GOOGLEFINANCE(""Currency:GBPEUR""),
IF($D23=""Iene"",'Original Data'!U23*GOOGLEFINANCE(""Currency:JPYEUR""),
IF($D23=""HKD"",'Original Data'!U23*GOOGLEFINANCE(""Currency:HKDEUR""),
IF($D23=""KRW"",'Original Data'!U23*GOOGLEFINANCE("&amp;"""Currency:KRWEUR""),""""))))))))"),"-")</f>
        <v>-</v>
      </c>
      <c r="V23" s="8" t="str">
        <f>IFERROR(__xludf.DUMMYFUNCTION("IF('Original Data'!V23=""-"",""-"",
IF($D23=""Euro"",'Original Data'!V23,
IF($D23=""Dolar"",'Original Data'!V23*GOOGLEFINANCE(""Currency:USDEUR""),
IF($D23=""Franco Suíço"",'Original Data'!V23*GOOGLEFINANCE(""Currency:CHFEUR""),
IF($D23=""Libra Esterlina"&amp;""", 'Original Data'!V23*GOOGLEFINANCE(""Currency:GBPEUR""),
IF($D23=""Iene"",'Original Data'!V23*GOOGLEFINANCE(""Currency:JPYEUR""),
IF($D23=""HKD"",'Original Data'!V23*GOOGLEFINANCE(""Currency:HKDEUR""),
IF($D23=""KRW"",'Original Data'!V23*GOOGLEFINANCE("&amp;"""Currency:KRWEUR""),""""))))))))"),"-")</f>
        <v>-</v>
      </c>
      <c r="W23" s="7" t="s">
        <v>43</v>
      </c>
      <c r="X23" s="7" t="s">
        <v>35</v>
      </c>
      <c r="Y23" s="7" t="s">
        <v>41</v>
      </c>
      <c r="Z23" s="7" t="s">
        <v>41</v>
      </c>
      <c r="AA23" s="7" t="s">
        <v>41</v>
      </c>
      <c r="AB23" s="7" t="s">
        <v>41</v>
      </c>
      <c r="AC23" s="7">
        <v>18.0</v>
      </c>
      <c r="AD23" s="7">
        <v>0.4</v>
      </c>
      <c r="AE23" s="7">
        <v>9.7</v>
      </c>
      <c r="AF23" s="7">
        <v>8.2</v>
      </c>
      <c r="AG23" s="7">
        <v>2.0</v>
      </c>
    </row>
    <row r="24">
      <c r="A24" s="16" t="s">
        <v>108</v>
      </c>
      <c r="B24" s="16" t="s">
        <v>109</v>
      </c>
      <c r="C24" s="16" t="s">
        <v>110</v>
      </c>
      <c r="D24" s="7" t="s">
        <v>33</v>
      </c>
      <c r="E24" s="8">
        <f>IFERROR(__xludf.DUMMYFUNCTION("IF($D24=""Euro"",'Original Data'!E24,
IF($D24=""Dolar"",'Original Data'!E24*GOOGLEFINANCE(""Currency:USDEUR""),
IF($D24=""Franco Suíço"",'Original Data'!E24*GOOGLEFINANCE(""Currency:CHFEUR""),
IF($D24=""Libra Esterlina"", 'Original Data'!E24*GOOGLEFINANCE"&amp;"(""Currency:GBPEUR""),
IF($D24=""Iene"",'Original Data'!E24*GOOGLEFINANCE(""Currency:JPYEUR""),
IF($D24=""HKD"",'Original Data'!E24*GOOGLEFINANCE(""Currency:HKDEUR""),
IF($D24=""KRW"",'Original Data'!E24*GOOGLEFINANCE(""Currency:KRWEUR""),"""")))))))"),74.0)</f>
        <v>74</v>
      </c>
      <c r="F24" s="8">
        <f>IFERROR(__xludf.DUMMYFUNCTION("IF($D24=""Euro"",'Original Data'!F24,
IF($D24=""Dolar"",'Original Data'!F24*GOOGLEFINANCE(""Currency:USDEUR""),
IF($D24=""Franco Suíço"",'Original Data'!F24*GOOGLEFINANCE(""Currency:CHFEUR""),
IF($D24=""Libra Esterlina"", 'Original Data'!F24*GOOGLEFINANCE"&amp;"(""Currency:GBPEUR""),
IF($D24=""Iene"",'Original Data'!F24*GOOGLEFINANCE(""Currency:JPYEUR""),
IF($D24=""HKD"",'Original Data'!F24*GOOGLEFINANCE(""Currency:HKDEUR""),
IF($D24=""KRW"",'Original Data'!F24*GOOGLEFINANCE(""Currency:KRWEUR""),"""")))))))"),145.15)</f>
        <v>145.15</v>
      </c>
      <c r="G24" s="8">
        <f>IFERROR(__xludf.DUMMYFUNCTION("IF($D24=""Euro"",'Original Data'!G24,
IF($D24=""Dolar"",'Original Data'!G24*GOOGLEFINANCE(""Currency:USDEUR""),
IF($D24=""Franco Suíço"",'Original Data'!G24*GOOGLEFINANCE(""Currency:CHFEUR""),
IF($D24=""Libra Esterlina"", 'Original Data'!G24*GOOGLEFINANCE"&amp;"(""Currency:GBPEUR""),
IF($D24=""Iene"",'Original Data'!G24*GOOGLEFINANCE(""Currency:JPYEUR""),
IF($D24=""HKD"",'Original Data'!G24*GOOGLEFINANCE(""Currency:HKDEUR""),
IF($D24=""KRW"",'Original Data'!G24*GOOGLEFINANCE(""Currency:KRWEUR""),"""")))))))"),21.86)</f>
        <v>21.86</v>
      </c>
      <c r="H24" s="17">
        <v>0.24999</v>
      </c>
      <c r="I24" s="7" t="s">
        <v>41</v>
      </c>
      <c r="J24" s="7" t="s">
        <v>51</v>
      </c>
      <c r="K24" s="9">
        <v>0.0551</v>
      </c>
      <c r="L24" s="9">
        <v>0.0488</v>
      </c>
      <c r="M24" s="9">
        <v>0.1281</v>
      </c>
      <c r="N24" s="8">
        <f>IFERROR(__xludf.DUMMYFUNCTION("IF('Original Data'!N24=""-"",""-"",
IF($D24=""Euro"",'Original Data'!N24,
IF($D24=""Dolar"",'Original Data'!N24*GOOGLEFINANCE(""Currency:USDEUR""),
IF($D24=""Franco Suíço"",'Original Data'!N24*GOOGLEFINANCE(""Currency:CHFEUR""),
IF($D24=""Libra Esterlina"&amp;""", 'Original Data'!N24*GOOGLEFINANCE(""Currency:GBPEUR""),
IF($D24=""Iene"",'Original Data'!N24*GOOGLEFINANCE(""Currency:JPYEUR""),
IF($D24=""HKD"",'Original Data'!N24*GOOGLEFINANCE(""Currency:HKDEUR""),
IF($D24=""KRW"",'Original Data'!N24*GOOGLEFINANCE("&amp;"""Currency:KRWEUR""),""""))))))))"),-0.4)</f>
        <v>-0.4</v>
      </c>
      <c r="O24" s="8">
        <f>IFERROR(__xludf.DUMMYFUNCTION("IF('Original Data'!O24=""-"",""-"",
IF($D24=""Euro"",'Original Data'!O24,
IF($D24=""Dolar"",'Original Data'!O24*GOOGLEFINANCE(""Currency:USDEUR""),
IF($D24=""Franco Suíço"",'Original Data'!O24*GOOGLEFINANCE(""Currency:CHFEUR""),
IF($D24=""Libra Esterlina"&amp;""", 'Original Data'!O24*GOOGLEFINANCE(""Currency:GBPEUR""),
IF($D24=""Iene"",'Original Data'!O24*GOOGLEFINANCE(""Currency:JPYEUR""),
IF($D24=""HKD"",'Original Data'!O24*GOOGLEFINANCE(""Currency:HKDEUR""),
IF($D24=""KRW"",'Original Data'!O24*GOOGLEFINANCE("&amp;"""Currency:KRWEUR""),""""))))))))"),4.2)</f>
        <v>4.2</v>
      </c>
      <c r="P24" s="8">
        <f>IFERROR(__xludf.DUMMYFUNCTION("IF('Original Data'!P24=""-"",""-"",
IF($D24=""Euro"",'Original Data'!P24,
IF($D24=""Dolar"",'Original Data'!P24*GOOGLEFINANCE(""Currency:USDEUR""),
IF($D24=""Franco Suíço"",'Original Data'!P24*GOOGLEFINANCE(""Currency:CHFEUR""),
IF($D24=""Libra Esterlina"&amp;""", 'Original Data'!P24*GOOGLEFINANCE(""Currency:GBPEUR""),
IF($D24=""Iene"",'Original Data'!P24*GOOGLEFINANCE(""Currency:JPYEUR""),
IF($D24=""HKD"",'Original Data'!P24*GOOGLEFINANCE(""Currency:HKDEUR""),
IF($D24=""KRW"",'Original Data'!P24*GOOGLEFINANCE("&amp;"""Currency:KRWEUR""),""""))))))))"),4.44)</f>
        <v>4.44</v>
      </c>
      <c r="Q24" s="8">
        <f>IFERROR(__xludf.DUMMYFUNCTION("IF('Original Data'!Q24=""-"",""-"",
IF($D24=""Euro"",'Original Data'!Q24,
IF($D24=""Dolar"",'Original Data'!Q24*GOOGLEFINANCE(""Currency:USDEUR""),
IF($D24=""Franco Suíço"",'Original Data'!Q24*GOOGLEFINANCE(""Currency:CHFEUR""),
IF($D24=""Libra Esterlina"&amp;""", 'Original Data'!Q24*GOOGLEFINANCE(""Currency:GBPEUR""),
IF($D24=""Iene"",'Original Data'!Q24*GOOGLEFINANCE(""Currency:JPYEUR""),
IF($D24=""HKD"",'Original Data'!Q24*GOOGLEFINANCE(""Currency:HKDEUR""),
IF($D24=""KRW"",'Original Data'!Q24*GOOGLEFINANCE("&amp;"""Currency:KRWEUR""),""""))))))))"),2.18)</f>
        <v>2.18</v>
      </c>
      <c r="R24" s="8">
        <f>IFERROR(__xludf.DUMMYFUNCTION("IF('Original Data'!R24=""-"",""-"",
IF($D24=""Euro"",'Original Data'!R24,
IF($D24=""Dolar"",'Original Data'!R24*GOOGLEFINANCE(""Currency:USDEUR""),
IF($D24=""Franco Suíço"",'Original Data'!R24*GOOGLEFINANCE(""Currency:CHFEUR""),
IF($D24=""Libra Esterlina"&amp;""", 'Original Data'!R24*GOOGLEFINANCE(""Currency:GBPEUR""),
IF($D24=""Iene"",'Original Data'!R24*GOOGLEFINANCE(""Currency:JPYEUR""),
IF($D24=""HKD"",'Original Data'!R24*GOOGLEFINANCE(""Currency:HKDEUR""),
IF($D24=""KRW"",'Original Data'!R24*GOOGLEFINANCE("&amp;"""Currency:KRWEUR""),""""))))))))"),2.32)</f>
        <v>2.32</v>
      </c>
      <c r="S24" s="8">
        <f>IFERROR(__xludf.DUMMYFUNCTION("IF('Original Data'!S24=""-"",""-"",
IF($D24=""Euro"",'Original Data'!S24,
IF($D24=""Dolar"",'Original Data'!S24*GOOGLEFINANCE(""Currency:USDEUR""),
IF($D24=""Franco Suíço"",'Original Data'!S24*GOOGLEFINANCE(""Currency:CHFEUR""),
IF($D24=""Libra Esterlina"&amp;""", 'Original Data'!S24*GOOGLEFINANCE(""Currency:GBPEUR""),
IF($D24=""Iene"",'Original Data'!S24*GOOGLEFINANCE(""Currency:JPYEUR""),
IF($D24=""HKD"",'Original Data'!S24*GOOGLEFINANCE(""Currency:HKDEUR""),
IF($D24=""KRW"",'Original Data'!S24*GOOGLEFINANCE("&amp;"""Currency:KRWEUR""),""""))))))))"),2.62)</f>
        <v>2.62</v>
      </c>
      <c r="T24" s="8">
        <f>IFERROR(__xludf.DUMMYFUNCTION("IF('Original Data'!T24=""-"",""-"",
IF($D24=""Euro"",'Original Data'!T24,
IF($D24=""Dolar"",'Original Data'!T24*GOOGLEFINANCE(""Currency:USDEUR""),
IF($D24=""Franco Suíço"",'Original Data'!T24*GOOGLEFINANCE(""Currency:CHFEUR""),
IF($D24=""Libra Esterlina"&amp;""", 'Original Data'!T24*GOOGLEFINANCE(""Currency:GBPEUR""),
IF($D24=""Iene"",'Original Data'!T24*GOOGLEFINANCE(""Currency:JPYEUR""),
IF($D24=""HKD"",'Original Data'!T24*GOOGLEFINANCE(""Currency:HKDEUR""),
IF($D24=""KRW"",'Original Data'!T24*GOOGLEFINANCE("&amp;"""Currency:KRWEUR""),""""))))))))"),2.75)</f>
        <v>2.75</v>
      </c>
      <c r="U24" s="8">
        <f>IFERROR(__xludf.DUMMYFUNCTION("IF('Original Data'!U24=""-"",""-"",
IF($D24=""Euro"",'Original Data'!U24,
IF($D24=""Dolar"",'Original Data'!U24*GOOGLEFINANCE(""Currency:USDEUR""),
IF($D24=""Franco Suíço"",'Original Data'!U24*GOOGLEFINANCE(""Currency:CHFEUR""),
IF($D24=""Libra Esterlina"&amp;""", 'Original Data'!U24*GOOGLEFINANCE(""Currency:GBPEUR""),
IF($D24=""Iene"",'Original Data'!U24*GOOGLEFINANCE(""Currency:JPYEUR""),
IF($D24=""HKD"",'Original Data'!U24*GOOGLEFINANCE(""Currency:HKDEUR""),
IF($D24=""KRW"",'Original Data'!U24*GOOGLEFINANCE("&amp;"""Currency:KRWEUR""),""""))))))))"),0.85121)</f>
        <v>0.85121</v>
      </c>
      <c r="V24" s="8">
        <f>IFERROR(__xludf.DUMMYFUNCTION("IF('Original Data'!V24=""-"",""-"",
IF($D24=""Euro"",'Original Data'!V24,
IF($D24=""Dolar"",'Original Data'!V24*GOOGLEFINANCE(""Currency:USDEUR""),
IF($D24=""Franco Suíço"",'Original Data'!V24*GOOGLEFINANCE(""Currency:CHFEUR""),
IF($D24=""Libra Esterlina"&amp;""", 'Original Data'!V24*GOOGLEFINANCE(""Currency:GBPEUR""),
IF($D24=""Iene"",'Original Data'!V24*GOOGLEFINANCE(""Currency:JPYEUR""),
IF($D24=""HKD"",'Original Data'!V24*GOOGLEFINANCE(""Currency:HKDEUR""),
IF($D24=""KRW"",'Original Data'!V24*GOOGLEFINANCE("&amp;"""Currency:KRWEUR""),""""))))))))"),0.8224)</f>
        <v>0.8224</v>
      </c>
      <c r="W24" s="7" t="s">
        <v>34</v>
      </c>
      <c r="X24" s="7" t="s">
        <v>43</v>
      </c>
      <c r="Y24" s="7" t="s">
        <v>41</v>
      </c>
      <c r="Z24" s="7" t="s">
        <v>41</v>
      </c>
      <c r="AA24" s="7" t="s">
        <v>41</v>
      </c>
      <c r="AB24" s="7" t="s">
        <v>41</v>
      </c>
      <c r="AC24" s="7">
        <v>11.0</v>
      </c>
      <c r="AD24" s="7">
        <v>2.3</v>
      </c>
      <c r="AE24" s="7">
        <v>4.1</v>
      </c>
      <c r="AF24" s="7">
        <v>4.8</v>
      </c>
      <c r="AG24" s="7">
        <v>0.0</v>
      </c>
    </row>
    <row r="25">
      <c r="A25" s="16" t="s">
        <v>111</v>
      </c>
      <c r="B25" s="16" t="s">
        <v>112</v>
      </c>
      <c r="C25" s="16" t="s">
        <v>113</v>
      </c>
      <c r="D25" s="7" t="s">
        <v>33</v>
      </c>
      <c r="E25" s="8">
        <f>IFERROR(__xludf.DUMMYFUNCTION("IF($D25=""Euro"",'Original Data'!E25,
IF($D25=""Dolar"",'Original Data'!E25*GOOGLEFINANCE(""Currency:USDEUR""),
IF($D25=""Franco Suíço"",'Original Data'!E25*GOOGLEFINANCE(""Currency:CHFEUR""),
IF($D25=""Libra Esterlina"", 'Original Data'!E25*GOOGLEFINANCE"&amp;"(""Currency:GBPEUR""),
IF($D25=""Iene"",'Original Data'!E25*GOOGLEFINANCE(""Currency:JPYEUR""),
IF($D25=""HKD"",'Original Data'!E25*GOOGLEFINANCE(""Currency:HKDEUR""),
IF($D25=""KRW"",'Original Data'!E25*GOOGLEFINANCE(""Currency:KRWEUR""),"""")))))))"),9.35)</f>
        <v>9.35</v>
      </c>
      <c r="F25" s="8">
        <f>IFERROR(__xludf.DUMMYFUNCTION("IF($D25=""Euro"",'Original Data'!F25,
IF($D25=""Dolar"",'Original Data'!F25*GOOGLEFINANCE(""Currency:USDEUR""),
IF($D25=""Franco Suíço"",'Original Data'!F25*GOOGLEFINANCE(""Currency:CHFEUR""),
IF($D25=""Libra Esterlina"", 'Original Data'!F25*GOOGLEFINANCE"&amp;"(""Currency:GBPEUR""),
IF($D25=""Iene"",'Original Data'!F25*GOOGLEFINANCE(""Currency:JPYEUR""),
IF($D25=""HKD"",'Original Data'!F25*GOOGLEFINANCE(""Currency:HKDEUR""),
IF($D25=""KRW"",'Original Data'!F25*GOOGLEFINANCE(""Currency:KRWEUR""),"""")))))))"),10.1)</f>
        <v>10.1</v>
      </c>
      <c r="G25" s="8">
        <f>IFERROR(__xludf.DUMMYFUNCTION("IF($D25=""Euro"",'Original Data'!G25,
IF($D25=""Dolar"",'Original Data'!G25*GOOGLEFINANCE(""Currency:USDEUR""),
IF($D25=""Franco Suíço"",'Original Data'!G25*GOOGLEFINANCE(""Currency:CHFEUR""),
IF($D25=""Libra Esterlina"", 'Original Data'!G25*GOOGLEFINANCE"&amp;"(""Currency:GBPEUR""),
IF($D25=""Iene"",'Original Data'!G25*GOOGLEFINANCE(""Currency:JPYEUR""),
IF($D25=""HKD"",'Original Data'!G25*GOOGLEFINANCE(""Currency:HKDEUR""),
IF($D25=""KRW"",'Original Data'!G25*GOOGLEFINANCE(""Currency:KRWEUR""),"""")))))))"),1.32)</f>
        <v>1.32</v>
      </c>
      <c r="H25" s="17">
        <v>0.10593</v>
      </c>
      <c r="I25" s="7">
        <v>17.88</v>
      </c>
      <c r="J25" s="7" t="s">
        <v>51</v>
      </c>
      <c r="K25" s="9">
        <v>0.1434</v>
      </c>
      <c r="L25" s="9">
        <v>0.0938</v>
      </c>
      <c r="M25" s="9">
        <v>0.1734</v>
      </c>
      <c r="N25" s="8">
        <f>IFERROR(__xludf.DUMMYFUNCTION("IF('Original Data'!N25=""-"",""-"",
IF($D25=""Euro"",'Original Data'!N25,
IF($D25=""Dolar"",'Original Data'!N25*GOOGLEFINANCE(""Currency:USDEUR""),
IF($D25=""Franco Suíço"",'Original Data'!N25*GOOGLEFINANCE(""Currency:CHFEUR""),
IF($D25=""Libra Esterlina"&amp;""", 'Original Data'!N25*GOOGLEFINANCE(""Currency:GBPEUR""),
IF($D25=""Iene"",'Original Data'!N25*GOOGLEFINANCE(""Currency:JPYEUR""),
IF($D25=""HKD"",'Original Data'!N25*GOOGLEFINANCE(""Currency:HKDEUR""),
IF($D25=""KRW"",'Original Data'!N25*GOOGLEFINANCE("&amp;"""Currency:KRWEUR""),""""))))))))"),0.48)</f>
        <v>0.48</v>
      </c>
      <c r="O25" s="8">
        <f>IFERROR(__xludf.DUMMYFUNCTION("IF('Original Data'!O25=""-"",""-"",
IF($D25=""Euro"",'Original Data'!O25,
IF($D25=""Dolar"",'Original Data'!O25*GOOGLEFINANCE(""Currency:USDEUR""),
IF($D25=""Franco Suíço"",'Original Data'!O25*GOOGLEFINANCE(""Currency:CHFEUR""),
IF($D25=""Libra Esterlina"&amp;""", 'Original Data'!O25*GOOGLEFINANCE(""Currency:GBPEUR""),
IF($D25=""Iene"",'Original Data'!O25*GOOGLEFINANCE(""Currency:JPYEUR""),
IF($D25=""HKD"",'Original Data'!O25*GOOGLEFINANCE(""Currency:HKDEUR""),
IF($D25=""KRW"",'Original Data'!O25*GOOGLEFINANCE("&amp;"""Currency:KRWEUR""),""""))))))))"),0.76312)</f>
        <v>0.76312</v>
      </c>
      <c r="P25" s="8">
        <f>IFERROR(__xludf.DUMMYFUNCTION("IF('Original Data'!P25=""-"",""-"",
IF($D25=""Euro"",'Original Data'!P25,
IF($D25=""Dolar"",'Original Data'!P25*GOOGLEFINANCE(""Currency:USDEUR""),
IF($D25=""Franco Suíço"",'Original Data'!P25*GOOGLEFINANCE(""Currency:CHFEUR""),
IF($D25=""Libra Esterlina"&amp;""", 'Original Data'!P25*GOOGLEFINANCE(""Currency:GBPEUR""),
IF($D25=""Iene"",'Original Data'!P25*GOOGLEFINANCE(""Currency:JPYEUR""),
IF($D25=""HKD"",'Original Data'!P25*GOOGLEFINANCE(""Currency:HKDEUR""),
IF($D25=""KRW"",'Original Data'!P25*GOOGLEFINANCE("&amp;"""Currency:KRWEUR""),""""))))))))"),0.78106)</f>
        <v>0.78106</v>
      </c>
      <c r="Q25" s="8">
        <f>IFERROR(__xludf.DUMMYFUNCTION("IF('Original Data'!Q25=""-"",""-"",
IF($D25=""Euro"",'Original Data'!Q25,
IF($D25=""Dolar"",'Original Data'!Q25*GOOGLEFINANCE(""Currency:USDEUR""),
IF($D25=""Franco Suíço"",'Original Data'!Q25*GOOGLEFINANCE(""Currency:CHFEUR""),
IF($D25=""Libra Esterlina"&amp;""", 'Original Data'!Q25*GOOGLEFINANCE(""Currency:GBPEUR""),
IF($D25=""Iene"",'Original Data'!Q25*GOOGLEFINANCE(""Currency:JPYEUR""),
IF($D25=""HKD"",'Original Data'!Q25*GOOGLEFINANCE(""Currency:HKDEUR""),
IF($D25=""KRW"",'Original Data'!Q25*GOOGLEFINANCE("&amp;"""Currency:KRWEUR""),""""))))))))"),0.74011)</f>
        <v>0.74011</v>
      </c>
      <c r="R25" s="8">
        <f>IFERROR(__xludf.DUMMYFUNCTION("IF('Original Data'!R25=""-"",""-"",
IF($D25=""Euro"",'Original Data'!R25,
IF($D25=""Dolar"",'Original Data'!R25*GOOGLEFINANCE(""Currency:USDEUR""),
IF($D25=""Franco Suíço"",'Original Data'!R25*GOOGLEFINANCE(""Currency:CHFEUR""),
IF($D25=""Libra Esterlina"&amp;""", 'Original Data'!R25*GOOGLEFINANCE(""Currency:GBPEUR""),
IF($D25=""Iene"",'Original Data'!R25*GOOGLEFINANCE(""Currency:JPYEUR""),
IF($D25=""HKD"",'Original Data'!R25*GOOGLEFINANCE(""Currency:HKDEUR""),
IF($D25=""KRW"",'Original Data'!R25*GOOGLEFINANCE("&amp;"""Currency:KRWEUR""),""""))))))))"),0.83782)</f>
        <v>0.83782</v>
      </c>
      <c r="S25" s="8">
        <f>IFERROR(__xludf.DUMMYFUNCTION("IF('Original Data'!S25=""-"",""-"",
IF($D25=""Euro"",'Original Data'!S25,
IF($D25=""Dolar"",'Original Data'!S25*GOOGLEFINANCE(""Currency:USDEUR""),
IF($D25=""Franco Suíço"",'Original Data'!S25*GOOGLEFINANCE(""Currency:CHFEUR""),
IF($D25=""Libra Esterlina"&amp;""", 'Original Data'!S25*GOOGLEFINANCE(""Currency:GBPEUR""),
IF($D25=""Iene"",'Original Data'!S25*GOOGLEFINANCE(""Currency:JPYEUR""),
IF($D25=""HKD"",'Original Data'!S25*GOOGLEFINANCE(""Currency:HKDEUR""),
IF($D25=""KRW"",'Original Data'!S25*GOOGLEFINANCE("&amp;"""Currency:KRWEUR""),""""))))))))"),0.12629)</f>
        <v>0.12629</v>
      </c>
      <c r="T25" s="8">
        <f>IFERROR(__xludf.DUMMYFUNCTION("IF('Original Data'!T25=""-"",""-"",
IF($D25=""Euro"",'Original Data'!T25,
IF($D25=""Dolar"",'Original Data'!T25*GOOGLEFINANCE(""Currency:USDEUR""),
IF($D25=""Franco Suíço"",'Original Data'!T25*GOOGLEFINANCE(""Currency:CHFEUR""),
IF($D25=""Libra Esterlina"&amp;""", 'Original Data'!T25*GOOGLEFINANCE(""Currency:GBPEUR""),
IF($D25=""Iene"",'Original Data'!T25*GOOGLEFINANCE(""Currency:JPYEUR""),
IF($D25=""HKD"",'Original Data'!T25*GOOGLEFINANCE(""Currency:HKDEUR""),
IF($D25=""KRW"",'Original Data'!T25*GOOGLEFINANCE("&amp;"""Currency:KRWEUR""),""""))))))))"),0.1182)</f>
        <v>0.1182</v>
      </c>
      <c r="U25" s="8">
        <f>IFERROR(__xludf.DUMMYFUNCTION("IF('Original Data'!U25=""-"",""-"",
IF($D25=""Euro"",'Original Data'!U25,
IF($D25=""Dolar"",'Original Data'!U25*GOOGLEFINANCE(""Currency:USDEUR""),
IF($D25=""Franco Suíço"",'Original Data'!U25*GOOGLEFINANCE(""Currency:CHFEUR""),
IF($D25=""Libra Esterlina"&amp;""", 'Original Data'!U25*GOOGLEFINANCE(""Currency:GBPEUR""),
IF($D25=""Iene"",'Original Data'!U25*GOOGLEFINANCE(""Currency:JPYEUR""),
IF($D25=""HKD"",'Original Data'!U25*GOOGLEFINANCE(""Currency:HKDEUR""),
IF($D25=""KRW"",'Original Data'!U25*GOOGLEFINANCE("&amp;"""Currency:KRWEUR""),""""))))))))"),0.10929)</f>
        <v>0.10929</v>
      </c>
      <c r="V25" s="8" t="str">
        <f>IFERROR(__xludf.DUMMYFUNCTION("IF('Original Data'!V25=""-"",""-"",
IF($D25=""Euro"",'Original Data'!V25,
IF($D25=""Dolar"",'Original Data'!V25*GOOGLEFINANCE(""Currency:USDEUR""),
IF($D25=""Franco Suíço"",'Original Data'!V25*GOOGLEFINANCE(""Currency:CHFEUR""),
IF($D25=""Libra Esterlina"&amp;""", 'Original Data'!V25*GOOGLEFINANCE(""Currency:GBPEUR""),
IF($D25=""Iene"",'Original Data'!V25*GOOGLEFINANCE(""Currency:JPYEUR""),
IF($D25=""HKD"",'Original Data'!V25*GOOGLEFINANCE(""Currency:HKDEUR""),
IF($D25=""KRW"",'Original Data'!V25*GOOGLEFINANCE("&amp;"""Currency:KRWEUR""),""""))))))))"),"-")</f>
        <v>-</v>
      </c>
      <c r="W25" s="7" t="s">
        <v>36</v>
      </c>
      <c r="X25" s="7" t="s">
        <v>114</v>
      </c>
      <c r="Y25" s="7" t="s">
        <v>59</v>
      </c>
      <c r="Z25" s="7" t="s">
        <v>59</v>
      </c>
      <c r="AA25" s="7" t="s">
        <v>36</v>
      </c>
      <c r="AB25" s="7" t="s">
        <v>36</v>
      </c>
      <c r="AC25" s="7" t="s">
        <v>41</v>
      </c>
      <c r="AD25" s="7" t="s">
        <v>41</v>
      </c>
      <c r="AE25" s="7" t="s">
        <v>41</v>
      </c>
      <c r="AF25" s="7" t="s">
        <v>41</v>
      </c>
      <c r="AG25" s="7" t="s">
        <v>41</v>
      </c>
    </row>
    <row r="26">
      <c r="A26" s="16" t="s">
        <v>115</v>
      </c>
      <c r="B26" s="16" t="s">
        <v>116</v>
      </c>
      <c r="C26" s="16" t="s">
        <v>117</v>
      </c>
      <c r="D26" s="7" t="s">
        <v>33</v>
      </c>
      <c r="E26" s="8">
        <f>IFERROR(__xludf.DUMMYFUNCTION("IF($D26=""Euro"",'Original Data'!E26,
IF($D26=""Dolar"",'Original Data'!E26*GOOGLEFINANCE(""Currency:USDEUR""),
IF($D26=""Franco Suíço"",'Original Data'!E26*GOOGLEFINANCE(""Currency:CHFEUR""),
IF($D26=""Libra Esterlina"", 'Original Data'!E26*GOOGLEFINANCE"&amp;"(""Currency:GBPEUR""),
IF($D26=""Iene"",'Original Data'!E26*GOOGLEFINANCE(""Currency:JPYEUR""),
IF($D26=""HKD"",'Original Data'!E26*GOOGLEFINANCE(""Currency:HKDEUR""),
IF($D26=""KRW"",'Original Data'!E26*GOOGLEFINANCE(""Currency:KRWEUR""),"""")))))))"),7.19)</f>
        <v>7.19</v>
      </c>
      <c r="F26" s="8">
        <f>IFERROR(__xludf.DUMMYFUNCTION("IF($D26=""Euro"",'Original Data'!F26,
IF($D26=""Dolar"",'Original Data'!F26*GOOGLEFINANCE(""Currency:USDEUR""),
IF($D26=""Franco Suíço"",'Original Data'!F26*GOOGLEFINANCE(""Currency:CHFEUR""),
IF($D26=""Libra Esterlina"", 'Original Data'!F26*GOOGLEFINANCE"&amp;"(""Currency:GBPEUR""),
IF($D26=""Iene"",'Original Data'!F26*GOOGLEFINANCE(""Currency:JPYEUR""),
IF($D26=""HKD"",'Original Data'!F26*GOOGLEFINANCE(""Currency:HKDEUR""),
IF($D26=""KRW"",'Original Data'!F26*GOOGLEFINANCE(""Currency:KRWEUR""),"""")))))))"),94.04)</f>
        <v>94.04</v>
      </c>
      <c r="G26" s="8">
        <f>IFERROR(__xludf.DUMMYFUNCTION("IF($D26=""Euro"",'Original Data'!G26,
IF($D26=""Dolar"",'Original Data'!G26*GOOGLEFINANCE(""Currency:USDEUR""),
IF($D26=""Franco Suíço"",'Original Data'!G26*GOOGLEFINANCE(""Currency:CHFEUR""),
IF($D26=""Libra Esterlina"", 'Original Data'!G26*GOOGLEFINANCE"&amp;"(""Currency:GBPEUR""),
IF($D26=""Iene"",'Original Data'!G26*GOOGLEFINANCE(""Currency:JPYEUR""),
IF($D26=""HKD"",'Original Data'!G26*GOOGLEFINANCE(""Currency:HKDEUR""),
IF($D26=""KRW"",'Original Data'!G26*GOOGLEFINANCE(""Currency:KRWEUR""),"""")))))))"),119.47)</f>
        <v>119.47</v>
      </c>
      <c r="H26" s="17">
        <v>3.01</v>
      </c>
      <c r="I26" s="7">
        <v>19.08</v>
      </c>
      <c r="J26" s="9">
        <v>0.0353</v>
      </c>
      <c r="K26" s="9">
        <v>0.0623</v>
      </c>
      <c r="L26" s="9">
        <v>0.0519</v>
      </c>
      <c r="M26" s="9">
        <v>0.0975</v>
      </c>
      <c r="N26" s="8">
        <f>IFERROR(__xludf.DUMMYFUNCTION("IF('Original Data'!N26=""-"",""-"",
IF($D26=""Euro"",'Original Data'!N26,
IF($D26=""Dolar"",'Original Data'!N26*GOOGLEFINANCE(""Currency:USDEUR""),
IF($D26=""Franco Suíço"",'Original Data'!N26*GOOGLEFINANCE(""Currency:CHFEUR""),
IF($D26=""Libra Esterlina"&amp;""", 'Original Data'!N26*GOOGLEFINANCE(""Currency:GBPEUR""),
IF($D26=""Iene"",'Original Data'!N26*GOOGLEFINANCE(""Currency:JPYEUR""),
IF($D26=""HKD"",'Original Data'!N26*GOOGLEFINANCE(""Currency:HKDEUR""),
IF($D26=""KRW"",'Original Data'!N26*GOOGLEFINANCE("&amp;"""Currency:KRWEUR""),""""))))))))"),4.97)</f>
        <v>4.97</v>
      </c>
      <c r="O26" s="8">
        <f>IFERROR(__xludf.DUMMYFUNCTION("IF('Original Data'!O26=""-"",""-"",
IF($D26=""Euro"",'Original Data'!O26,
IF($D26=""Dolar"",'Original Data'!O26*GOOGLEFINANCE(""Currency:USDEUR""),
IF($D26=""Franco Suíço"",'Original Data'!O26*GOOGLEFINANCE(""Currency:CHFEUR""),
IF($D26=""Libra Esterlina"&amp;""", 'Original Data'!O26*GOOGLEFINANCE(""Currency:GBPEUR""),
IF($D26=""Iene"",'Original Data'!O26*GOOGLEFINANCE(""Currency:JPYEUR""),
IF($D26=""HKD"",'Original Data'!O26*GOOGLEFINANCE(""Currency:HKDEUR""),
IF($D26=""KRW"",'Original Data'!O26*GOOGLEFINANCE("&amp;"""Currency:KRWEUR""),""""))))))))"),34.46)</f>
        <v>34.46</v>
      </c>
      <c r="P26" s="8">
        <f>IFERROR(__xludf.DUMMYFUNCTION("IF('Original Data'!P26=""-"",""-"",
IF($D26=""Euro"",'Original Data'!P26,
IF($D26=""Dolar"",'Original Data'!P26*GOOGLEFINANCE(""Currency:USDEUR""),
IF($D26=""Franco Suíço"",'Original Data'!P26*GOOGLEFINANCE(""Currency:CHFEUR""),
IF($D26=""Libra Esterlina"&amp;""", 'Original Data'!P26*GOOGLEFINANCE(""Currency:GBPEUR""),
IF($D26=""Iene"",'Original Data'!P26*GOOGLEFINANCE(""Currency:JPYEUR""),
IF($D26=""HKD"",'Original Data'!P26*GOOGLEFINANCE(""Currency:HKDEUR""),
IF($D26=""KRW"",'Original Data'!P26*GOOGLEFINANCE("&amp;"""Currency:KRWEUR""),""""))))))))"),36.13)</f>
        <v>36.13</v>
      </c>
      <c r="Q26" s="8">
        <f>IFERROR(__xludf.DUMMYFUNCTION("IF('Original Data'!Q26=""-"",""-"",
IF($D26=""Euro"",'Original Data'!Q26,
IF($D26=""Dolar"",'Original Data'!Q26*GOOGLEFINANCE(""Currency:USDEUR""),
IF($D26=""Franco Suíço"",'Original Data'!Q26*GOOGLEFINANCE(""Currency:CHFEUR""),
IF($D26=""Libra Esterlina"&amp;""", 'Original Data'!Q26*GOOGLEFINANCE(""Currency:GBPEUR""),
IF($D26=""Iene"",'Original Data'!Q26*GOOGLEFINANCE(""Currency:JPYEUR""),
IF($D26=""HKD"",'Original Data'!Q26*GOOGLEFINANCE(""Currency:HKDEUR""),
IF($D26=""KRW"",'Original Data'!Q26*GOOGLEFINANCE("&amp;"""Currency:KRWEUR""),""""))))))))"),36.04)</f>
        <v>36.04</v>
      </c>
      <c r="R26" s="8">
        <f>IFERROR(__xludf.DUMMYFUNCTION("IF('Original Data'!R26=""-"",""-"",
IF($D26=""Euro"",'Original Data'!R26,
IF($D26=""Dolar"",'Original Data'!R26*GOOGLEFINANCE(""Currency:USDEUR""),
IF($D26=""Franco Suíço"",'Original Data'!R26*GOOGLEFINANCE(""Currency:CHFEUR""),
IF($D26=""Libra Esterlina"&amp;""", 'Original Data'!R26*GOOGLEFINANCE(""Currency:GBPEUR""),
IF($D26=""Iene"",'Original Data'!R26*GOOGLEFINANCE(""Currency:JPYEUR""),
IF($D26=""HKD"",'Original Data'!R26*GOOGLEFINANCE(""Currency:HKDEUR""),
IF($D26=""KRW"",'Original Data'!R26*GOOGLEFINANCE("&amp;"""Currency:KRWEUR""),""""))))))))"),37.76)</f>
        <v>37.76</v>
      </c>
      <c r="S26" s="8">
        <f>IFERROR(__xludf.DUMMYFUNCTION("IF('Original Data'!S26=""-"",""-"",
IF($D26=""Euro"",'Original Data'!S26,
IF($D26=""Dolar"",'Original Data'!S26*GOOGLEFINANCE(""Currency:USDEUR""),
IF($D26=""Franco Suíço"",'Original Data'!S26*GOOGLEFINANCE(""Currency:CHFEUR""),
IF($D26=""Libra Esterlina"&amp;""", 'Original Data'!S26*GOOGLEFINANCE(""Currency:GBPEUR""),
IF($D26=""Iene"",'Original Data'!S26*GOOGLEFINANCE(""Currency:JPYEUR""),
IF($D26=""HKD"",'Original Data'!S26*GOOGLEFINANCE(""Currency:HKDEUR""),
IF($D26=""KRW"",'Original Data'!S26*GOOGLEFINANCE("&amp;"""Currency:KRWEUR""),""""))))))))"),8.55)</f>
        <v>8.55</v>
      </c>
      <c r="T26" s="8">
        <f>IFERROR(__xludf.DUMMYFUNCTION("IF('Original Data'!T26=""-"",""-"",
IF($D26=""Euro"",'Original Data'!T26,
IF($D26=""Dolar"",'Original Data'!T26*GOOGLEFINANCE(""Currency:USDEUR""),
IF($D26=""Franco Suíço"",'Original Data'!T26*GOOGLEFINANCE(""Currency:CHFEUR""),
IF($D26=""Libra Esterlina"&amp;""", 'Original Data'!T26*GOOGLEFINANCE(""Currency:GBPEUR""),
IF($D26=""Iene"",'Original Data'!T26*GOOGLEFINANCE(""Currency:JPYEUR""),
IF($D26=""HKD"",'Original Data'!T26*GOOGLEFINANCE(""Currency:HKDEUR""),
IF($D26=""KRW"",'Original Data'!T26*GOOGLEFINANCE("&amp;"""Currency:KRWEUR""),""""))))))))"),9.82)</f>
        <v>9.82</v>
      </c>
      <c r="U26" s="8">
        <f>IFERROR(__xludf.DUMMYFUNCTION("IF('Original Data'!U26=""-"",""-"",
IF($D26=""Euro"",'Original Data'!U26,
IF($D26=""Dolar"",'Original Data'!U26*GOOGLEFINANCE(""Currency:USDEUR""),
IF($D26=""Franco Suíço"",'Original Data'!U26*GOOGLEFINANCE(""Currency:CHFEUR""),
IF($D26=""Libra Esterlina"&amp;""", 'Original Data'!U26*GOOGLEFINANCE(""Currency:GBPEUR""),
IF($D26=""Iene"",'Original Data'!U26*GOOGLEFINANCE(""Currency:JPYEUR""),
IF($D26=""HKD"",'Original Data'!U26*GOOGLEFINANCE(""Currency:HKDEUR""),
IF($D26=""KRW"",'Original Data'!U26*GOOGLEFINANCE("&amp;"""Currency:KRWEUR""),""""))))))))"),10.54)</f>
        <v>10.54</v>
      </c>
      <c r="V26" s="8">
        <f>IFERROR(__xludf.DUMMYFUNCTION("IF('Original Data'!V26=""-"",""-"",
IF($D26=""Euro"",'Original Data'!V26,
IF($D26=""Dolar"",'Original Data'!V26*GOOGLEFINANCE(""Currency:USDEUR""),
IF($D26=""Franco Suíço"",'Original Data'!V26*GOOGLEFINANCE(""Currency:CHFEUR""),
IF($D26=""Libra Esterlina"&amp;""", 'Original Data'!V26*GOOGLEFINANCE(""Currency:GBPEUR""),
IF($D26=""Iene"",'Original Data'!V26*GOOGLEFINANCE(""Currency:JPYEUR""),
IF($D26=""HKD"",'Original Data'!V26*GOOGLEFINANCE(""Currency:HKDEUR""),
IF($D26=""KRW"",'Original Data'!V26*GOOGLEFINANCE("&amp;"""Currency:KRWEUR""),""""))))))))"),11.8)</f>
        <v>11.8</v>
      </c>
      <c r="W26" s="7" t="s">
        <v>35</v>
      </c>
      <c r="X26" s="7" t="s">
        <v>34</v>
      </c>
      <c r="Y26" s="7" t="s">
        <v>59</v>
      </c>
      <c r="Z26" s="7" t="s">
        <v>59</v>
      </c>
      <c r="AA26" s="7" t="s">
        <v>34</v>
      </c>
      <c r="AB26" s="7" t="s">
        <v>34</v>
      </c>
      <c r="AC26" s="7">
        <v>23.0</v>
      </c>
      <c r="AD26" s="7">
        <v>1.6</v>
      </c>
      <c r="AE26" s="7">
        <v>13.4</v>
      </c>
      <c r="AF26" s="7">
        <v>7.9</v>
      </c>
      <c r="AG26" s="7">
        <v>4.0</v>
      </c>
    </row>
    <row r="27">
      <c r="A27" s="16" t="s">
        <v>118</v>
      </c>
      <c r="B27" s="16" t="s">
        <v>119</v>
      </c>
      <c r="C27" s="16" t="s">
        <v>120</v>
      </c>
      <c r="D27" s="7" t="s">
        <v>33</v>
      </c>
      <c r="E27" s="8">
        <f>IFERROR(__xludf.DUMMYFUNCTION("IF($D27=""Euro"",'Original Data'!E27,
IF($D27=""Dolar"",'Original Data'!E27*GOOGLEFINANCE(""Currency:USDEUR""),
IF($D27=""Franco Suíço"",'Original Data'!E27*GOOGLEFINANCE(""Currency:CHFEUR""),
IF($D27=""Libra Esterlina"", 'Original Data'!E27*GOOGLEFINANCE"&amp;"(""Currency:GBPEUR""),
IF($D27=""Iene"",'Original Data'!E27*GOOGLEFINANCE(""Currency:JPYEUR""),
IF($D27=""HKD"",'Original Data'!E27*GOOGLEFINANCE(""Currency:HKDEUR""),
IF($D27=""KRW"",'Original Data'!E27*GOOGLEFINANCE(""Currency:KRWEUR""),"""")))))))"),1.88)</f>
        <v>1.88</v>
      </c>
      <c r="F27" s="8">
        <f>IFERROR(__xludf.DUMMYFUNCTION("IF($D27=""Euro"",'Original Data'!F27,
IF($D27=""Dolar"",'Original Data'!F27*GOOGLEFINANCE(""Currency:USDEUR""),
IF($D27=""Franco Suíço"",'Original Data'!F27*GOOGLEFINANCE(""Currency:CHFEUR""),
IF($D27=""Libra Esterlina"", 'Original Data'!F27*GOOGLEFINANCE"&amp;"(""Currency:GBPEUR""),
IF($D27=""Iene"",'Original Data'!F27*GOOGLEFINANCE(""Currency:JPYEUR""),
IF($D27=""HKD"",'Original Data'!F27*GOOGLEFINANCE(""Currency:HKDEUR""),
IF($D27=""KRW"",'Original Data'!F27*GOOGLEFINANCE(""Currency:KRWEUR""),"""")))))))"),28.28)</f>
        <v>28.28</v>
      </c>
      <c r="G27" s="8">
        <f>IFERROR(__xludf.DUMMYFUNCTION("IF($D27=""Euro"",'Original Data'!G27,
IF($D27=""Dolar"",'Original Data'!G27*GOOGLEFINANCE(""Currency:USDEUR""),
IF($D27=""Franco Suíço"",'Original Data'!G27*GOOGLEFINANCE(""Currency:CHFEUR""),
IF($D27=""Libra Esterlina"", 'Original Data'!G27*GOOGLEFINANCE"&amp;"(""Currency:GBPEUR""),
IF($D27=""Iene"",'Original Data'!G27*GOOGLEFINANCE(""Currency:JPYEUR""),
IF($D27=""HKD"",'Original Data'!G27*GOOGLEFINANCE(""Currency:HKDEUR""),
IF($D27=""KRW"",'Original Data'!G27*GOOGLEFINANCE(""Currency:KRWEUR""),"""")))))))"),24.091)</f>
        <v>24.091</v>
      </c>
      <c r="H27" s="17">
        <v>3.85</v>
      </c>
      <c r="I27" s="7">
        <v>7.58</v>
      </c>
      <c r="J27" s="9">
        <v>0.0304</v>
      </c>
      <c r="K27" s="9">
        <v>0.0501</v>
      </c>
      <c r="L27" s="9">
        <v>0.0359</v>
      </c>
      <c r="M27" s="9">
        <v>0.0757</v>
      </c>
      <c r="N27" s="8">
        <f>IFERROR(__xludf.DUMMYFUNCTION("IF('Original Data'!N27=""-"",""-"",
IF($D27=""Euro"",'Original Data'!N27,
IF($D27=""Dolar"",'Original Data'!N27*GOOGLEFINANCE(""Currency:USDEUR""),
IF($D27=""Franco Suíço"",'Original Data'!N27*GOOGLEFINANCE(""Currency:CHFEUR""),
IF($D27=""Libra Esterlina"&amp;""", 'Original Data'!N27*GOOGLEFINANCE(""Currency:GBPEUR""),
IF($D27=""Iene"",'Original Data'!N27*GOOGLEFINANCE(""Currency:JPYEUR""),
IF($D27=""HKD"",'Original Data'!N27*GOOGLEFINANCE(""Currency:HKDEUR""),
IF($D27=""KRW"",'Original Data'!N27*GOOGLEFINANCE("&amp;"""Currency:KRWEUR""),""""))))))))"),0.67)</f>
        <v>0.67</v>
      </c>
      <c r="O27" s="8">
        <f>IFERROR(__xludf.DUMMYFUNCTION("IF('Original Data'!O27=""-"",""-"",
IF($D27=""Euro"",'Original Data'!O27,
IF($D27=""Dolar"",'Original Data'!O27*GOOGLEFINANCE(""Currency:USDEUR""),
IF($D27=""Franco Suíço"",'Original Data'!O27*GOOGLEFINANCE(""Currency:CHFEUR""),
IF($D27=""Libra Esterlina"&amp;""", 'Original Data'!O27*GOOGLEFINANCE(""Currency:GBPEUR""),
IF($D27=""Iene"",'Original Data'!O27*GOOGLEFINANCE(""Currency:JPYEUR""),
IF($D27=""HKD"",'Original Data'!O27*GOOGLEFINANCE(""Currency:HKDEUR""),
IF($D27=""KRW"",'Original Data'!O27*GOOGLEFINANCE("&amp;"""Currency:KRWEUR""),""""))))))))"),18.12)</f>
        <v>18.12</v>
      </c>
      <c r="P27" s="8">
        <f>IFERROR(__xludf.DUMMYFUNCTION("IF('Original Data'!P27=""-"",""-"",
IF($D27=""Euro"",'Original Data'!P27,
IF($D27=""Dolar"",'Original Data'!P27*GOOGLEFINANCE(""Currency:USDEUR""),
IF($D27=""Franco Suíço"",'Original Data'!P27*GOOGLEFINANCE(""Currency:CHFEUR""),
IF($D27=""Libra Esterlina"&amp;""", 'Original Data'!P27*GOOGLEFINANCE(""Currency:GBPEUR""),
IF($D27=""Iene"",'Original Data'!P27*GOOGLEFINANCE(""Currency:JPYEUR""),
IF($D27=""HKD"",'Original Data'!P27*GOOGLEFINANCE(""Currency:HKDEUR""),
IF($D27=""KRW"",'Original Data'!P27*GOOGLEFINANCE("&amp;"""Currency:KRWEUR""),""""))))))))"),19.48)</f>
        <v>19.48</v>
      </c>
      <c r="Q27" s="8">
        <f>IFERROR(__xludf.DUMMYFUNCTION("IF('Original Data'!Q27=""-"",""-"",
IF($D27=""Euro"",'Original Data'!Q27,
IF($D27=""Dolar"",'Original Data'!Q27*GOOGLEFINANCE(""Currency:USDEUR""),
IF($D27=""Franco Suíço"",'Original Data'!Q27*GOOGLEFINANCE(""Currency:CHFEUR""),
IF($D27=""Libra Esterlina"&amp;""", 'Original Data'!Q27*GOOGLEFINANCE(""Currency:GBPEUR""),
IF($D27=""Iene"",'Original Data'!Q27*GOOGLEFINANCE(""Currency:JPYEUR""),
IF($D27=""HKD"",'Original Data'!Q27*GOOGLEFINANCE(""Currency:HKDEUR""),
IF($D27=""KRW"",'Original Data'!Q27*GOOGLEFINANCE("&amp;"""Currency:KRWEUR""),""""))))))))"),17.31)</f>
        <v>17.31</v>
      </c>
      <c r="R27" s="8">
        <f>IFERROR(__xludf.DUMMYFUNCTION("IF('Original Data'!R27=""-"",""-"",
IF($D27=""Euro"",'Original Data'!R27,
IF($D27=""Dolar"",'Original Data'!R27*GOOGLEFINANCE(""Currency:USDEUR""),
IF($D27=""Franco Suíço"",'Original Data'!R27*GOOGLEFINANCE(""Currency:CHFEUR""),
IF($D27=""Libra Esterlina"&amp;""", 'Original Data'!R27*GOOGLEFINANCE(""Currency:GBPEUR""),
IF($D27=""Iene"",'Original Data'!R27*GOOGLEFINANCE(""Currency:JPYEUR""),
IF($D27=""HKD"",'Original Data'!R27*GOOGLEFINANCE(""Currency:HKDEUR""),
IF($D27=""KRW"",'Original Data'!R27*GOOGLEFINANCE("&amp;"""Currency:KRWEUR""),""""))))))))"),17.16)</f>
        <v>17.16</v>
      </c>
      <c r="S27" s="8">
        <f>IFERROR(__xludf.DUMMYFUNCTION("IF('Original Data'!S27=""-"",""-"",
IF($D27=""Euro"",'Original Data'!S27,
IF($D27=""Dolar"",'Original Data'!S27*GOOGLEFINANCE(""Currency:USDEUR""),
IF($D27=""Franco Suíço"",'Original Data'!S27*GOOGLEFINANCE(""Currency:CHFEUR""),
IF($D27=""Libra Esterlina"&amp;""", 'Original Data'!S27*GOOGLEFINANCE(""Currency:GBPEUR""),
IF($D27=""Iene"",'Original Data'!S27*GOOGLEFINANCE(""Currency:JPYEUR""),
IF($D27=""HKD"",'Original Data'!S27*GOOGLEFINANCE(""Currency:HKDEUR""),
IF($D27=""KRW"",'Original Data'!S27*GOOGLEFINANCE("&amp;"""Currency:KRWEUR""),""""))))))))"),3.08)</f>
        <v>3.08</v>
      </c>
      <c r="T27" s="8">
        <f>IFERROR(__xludf.DUMMYFUNCTION("IF('Original Data'!T27=""-"",""-"",
IF($D27=""Euro"",'Original Data'!T27,
IF($D27=""Dolar"",'Original Data'!T27*GOOGLEFINANCE(""Currency:USDEUR""),
IF($D27=""Franco Suíço"",'Original Data'!T27*GOOGLEFINANCE(""Currency:CHFEUR""),
IF($D27=""Libra Esterlina"&amp;""", 'Original Data'!T27*GOOGLEFINANCE(""Currency:GBPEUR""),
IF($D27=""Iene"",'Original Data'!T27*GOOGLEFINANCE(""Currency:JPYEUR""),
IF($D27=""HKD"",'Original Data'!T27*GOOGLEFINANCE(""Currency:HKDEUR""),
IF($D27=""KRW"",'Original Data'!T27*GOOGLEFINANCE("&amp;"""Currency:KRWEUR""),""""))))))))"),3.43)</f>
        <v>3.43</v>
      </c>
      <c r="U27" s="8">
        <f>IFERROR(__xludf.DUMMYFUNCTION("IF('Original Data'!U27=""-"",""-"",
IF($D27=""Euro"",'Original Data'!U27,
IF($D27=""Dolar"",'Original Data'!U27*GOOGLEFINANCE(""Currency:USDEUR""),
IF($D27=""Franco Suíço"",'Original Data'!U27*GOOGLEFINANCE(""Currency:CHFEUR""),
IF($D27=""Libra Esterlina"&amp;""", 'Original Data'!U27*GOOGLEFINANCE(""Currency:GBPEUR""),
IF($D27=""Iene"",'Original Data'!U27*GOOGLEFINANCE(""Currency:JPYEUR""),
IF($D27=""HKD"",'Original Data'!U27*GOOGLEFINANCE(""Currency:HKDEUR""),
IF($D27=""KRW"",'Original Data'!U27*GOOGLEFINANCE("&amp;"""Currency:KRWEUR""),""""))))))))"),2.87)</f>
        <v>2.87</v>
      </c>
      <c r="V27" s="8">
        <f>IFERROR(__xludf.DUMMYFUNCTION("IF('Original Data'!V27=""-"",""-"",
IF($D27=""Euro"",'Original Data'!V27,
IF($D27=""Dolar"",'Original Data'!V27*GOOGLEFINANCE(""Currency:USDEUR""),
IF($D27=""Franco Suíço"",'Original Data'!V27*GOOGLEFINANCE(""Currency:CHFEUR""),
IF($D27=""Libra Esterlina"&amp;""", 'Original Data'!V27*GOOGLEFINANCE(""Currency:GBPEUR""),
IF($D27=""Iene"",'Original Data'!V27*GOOGLEFINANCE(""Currency:JPYEUR""),
IF($D27=""HKD"",'Original Data'!V27*GOOGLEFINANCE(""Currency:HKDEUR""),
IF($D27=""KRW"",'Original Data'!V27*GOOGLEFINANCE("&amp;"""Currency:KRWEUR""),""""))))))))"),1.85)</f>
        <v>1.85</v>
      </c>
      <c r="W27" s="7" t="s">
        <v>34</v>
      </c>
      <c r="X27" s="7" t="s">
        <v>34</v>
      </c>
      <c r="Y27" s="7" t="s">
        <v>41</v>
      </c>
      <c r="Z27" s="7" t="s">
        <v>41</v>
      </c>
      <c r="AA27" s="7" t="s">
        <v>35</v>
      </c>
      <c r="AB27" s="7" t="s">
        <v>35</v>
      </c>
      <c r="AC27" s="7">
        <v>23.0</v>
      </c>
      <c r="AD27" s="7">
        <v>0.9</v>
      </c>
      <c r="AE27" s="7">
        <v>14.1</v>
      </c>
      <c r="AF27" s="7">
        <v>8.5</v>
      </c>
      <c r="AG27" s="7">
        <v>4.0</v>
      </c>
    </row>
    <row r="28">
      <c r="A28" s="16" t="s">
        <v>121</v>
      </c>
      <c r="B28" s="16" t="s">
        <v>122</v>
      </c>
      <c r="C28" s="16" t="s">
        <v>123</v>
      </c>
      <c r="D28" s="7" t="s">
        <v>124</v>
      </c>
      <c r="E28" s="8">
        <f>IFERROR(__xludf.DUMMYFUNCTION("IF($D28=""Euro"",'Original Data'!E28,
IF($D28=""Dolar"",'Original Data'!E28*GOOGLEFINANCE(""Currency:USDEUR""),
IF($D28=""Franco Suíço"",'Original Data'!E28*GOOGLEFINANCE(""Currency:CHFEUR""),
IF($D28=""Libra Esterlina"", 'Original Data'!E28*GOOGLEFINANCE"&amp;"(""Currency:GBPEUR""),
IF($D28=""Iene"",'Original Data'!E28*GOOGLEFINANCE(""Currency:JPYEUR""),
IF($D28=""HKD"",'Original Data'!E28*GOOGLEFINANCE(""Currency:HKDEUR""),
IF($D28=""KRW"",'Original Data'!E28*GOOGLEFINANCE(""Currency:KRWEUR""),"""")))))))"),441.31573964800003)</f>
        <v>441.3157396</v>
      </c>
      <c r="F28" s="8">
        <f>IFERROR(__xludf.DUMMYFUNCTION("IF($D28=""Euro"",'Original Data'!F28,
IF($D28=""Dolar"",'Original Data'!F28*GOOGLEFINANCE(""Currency:USDEUR""),
IF($D28=""Franco Suíço"",'Original Data'!F28*GOOGLEFINANCE(""Currency:CHFEUR""),
IF($D28=""Libra Esterlina"", 'Original Data'!F28*GOOGLEFINANCE"&amp;"(""Currency:GBPEUR""),
IF($D28=""Iene"",'Original Data'!F28*GOOGLEFINANCE(""Currency:JPYEUR""),
IF($D28=""HKD"",'Original Data'!F28*GOOGLEFINANCE(""Currency:HKDEUR""),
IF($D28=""KRW"",'Original Data'!F28*GOOGLEFINANCE(""Currency:KRWEUR""),"""")))))))"),248.6725776)</f>
        <v>248.6725776</v>
      </c>
      <c r="G28" s="8">
        <f>IFERROR(__xludf.DUMMYFUNCTION("IF($D28=""Euro"",'Original Data'!G28,
IF($D28=""Dolar"",'Original Data'!G28*GOOGLEFINANCE(""Currency:USDEUR""),
IF($D28=""Franco Suíço"",'Original Data'!G28*GOOGLEFINANCE(""Currency:CHFEUR""),
IF($D28=""Libra Esterlina"", 'Original Data'!G28*GOOGLEFINANCE"&amp;"(""Currency:GBPEUR""),
IF($D28=""Iene"",'Original Data'!G28*GOOGLEFINANCE(""Currency:JPYEUR""),
IF($D28=""HKD"",'Original Data'!G28*GOOGLEFINANCE(""Currency:HKDEUR""),
IF($D28=""KRW"",'Original Data'!G28*GOOGLEFINANCE(""Currency:KRWEUR""),"""")))))))"),5.357872928)</f>
        <v>5.357872928</v>
      </c>
      <c r="H28" s="17">
        <v>6.64</v>
      </c>
      <c r="I28" s="7">
        <v>4.45</v>
      </c>
      <c r="J28" s="9">
        <v>0.0718</v>
      </c>
      <c r="K28" s="9">
        <v>0.0051</v>
      </c>
      <c r="L28" s="9">
        <v>0.0049</v>
      </c>
      <c r="M28" s="9">
        <v>0.0456</v>
      </c>
      <c r="N28" s="8">
        <f>IFERROR(__xludf.DUMMYFUNCTION("IF('Original Data'!N28=""-"",""-"",
IF($D28=""Euro"",'Original Data'!N28,
IF($D28=""Dolar"",'Original Data'!N28*GOOGLEFINANCE(""Currency:USDEUR""),
IF($D28=""Franco Suíço"",'Original Data'!N28*GOOGLEFINANCE(""Currency:CHFEUR""),
IF($D28=""Libra Esterlina"&amp;""", 'Original Data'!N28*GOOGLEFINANCE(""Currency:GBPEUR""),
IF($D28=""Iene"",'Original Data'!N28*GOOGLEFINANCE(""Currency:JPYEUR""),
IF($D28=""HKD"",'Original Data'!N28*GOOGLEFINANCE(""Currency:HKDEUR""),
IF($D28=""KRW"",'Original Data'!N28*GOOGLEFINANCE("&amp;"""Currency:KRWEUR""),""""))))))))"),0.564618896)</f>
        <v>0.564618896</v>
      </c>
      <c r="O28" s="8">
        <f>IFERROR(__xludf.DUMMYFUNCTION("IF('Original Data'!O28=""-"",""-"",
IF($D28=""Euro"",'Original Data'!O28,
IF($D28=""Dolar"",'Original Data'!O28*GOOGLEFINANCE(""Currency:USDEUR""),
IF($D28=""Franco Suíço"",'Original Data'!O28*GOOGLEFINANCE(""Currency:CHFEUR""),
IF($D28=""Libra Esterlina"&amp;""", 'Original Data'!O28*GOOGLEFINANCE(""Currency:GBPEUR""),
IF($D28=""Iene"",'Original Data'!O28*GOOGLEFINANCE(""Currency:JPYEUR""),
IF($D28=""HKD"",'Original Data'!O28*GOOGLEFINANCE(""Currency:HKDEUR""),
IF($D28=""KRW"",'Original Data'!O28*GOOGLEFINANCE("&amp;"""Currency:KRWEUR""),""""))))))))"),2.606857456)</f>
        <v>2.606857456</v>
      </c>
      <c r="P28" s="8">
        <f>IFERROR(__xludf.DUMMYFUNCTION("IF('Original Data'!P28=""-"",""-"",
IF($D28=""Euro"",'Original Data'!P28,
IF($D28=""Dolar"",'Original Data'!P28*GOOGLEFINANCE(""Currency:USDEUR""),
IF($D28=""Franco Suíço"",'Original Data'!P28*GOOGLEFINANCE(""Currency:CHFEUR""),
IF($D28=""Libra Esterlina"&amp;""", 'Original Data'!P28*GOOGLEFINANCE(""Currency:GBPEUR""),
IF($D28=""Iene"",'Original Data'!P28*GOOGLEFINANCE(""Currency:JPYEUR""),
IF($D28=""HKD"",'Original Data'!P28*GOOGLEFINANCE(""Currency:HKDEUR""),
IF($D28=""KRW"",'Original Data'!P28*GOOGLEFINANCE("&amp;"""Currency:KRWEUR""),""""))))))))"),2.9432261600000005)</f>
        <v>2.94322616</v>
      </c>
      <c r="Q28" s="8">
        <f>IFERROR(__xludf.DUMMYFUNCTION("IF('Original Data'!Q28=""-"",""-"",
IF($D28=""Euro"",'Original Data'!Q28,
IF($D28=""Dolar"",'Original Data'!Q28*GOOGLEFINANCE(""Currency:USDEUR""),
IF($D28=""Franco Suíço"",'Original Data'!Q28*GOOGLEFINANCE(""Currency:CHFEUR""),
IF($D28=""Libra Esterlina"&amp;""", 'Original Data'!Q28*GOOGLEFINANCE(""Currency:GBPEUR""),
IF($D28=""Iene"",'Original Data'!Q28*GOOGLEFINANCE(""Currency:JPYEUR""),
IF($D28=""HKD"",'Original Data'!Q28*GOOGLEFINANCE(""Currency:HKDEUR""),
IF($D28=""KRW"",'Original Data'!Q28*GOOGLEFINANCE("&amp;"""Currency:KRWEUR""),""""))))))))"),1.970159552)</f>
        <v>1.970159552</v>
      </c>
      <c r="R28" s="8">
        <f>IFERROR(__xludf.DUMMYFUNCTION("IF('Original Data'!R28=""-"",""-"",
IF($D28=""Euro"",'Original Data'!R28,
IF($D28=""Dolar"",'Original Data'!R28*GOOGLEFINANCE(""Currency:USDEUR""),
IF($D28=""Franco Suíço"",'Original Data'!R28*GOOGLEFINANCE(""Currency:CHFEUR""),
IF($D28=""Libra Esterlina"&amp;""", 'Original Data'!R28*GOOGLEFINANCE(""Currency:GBPEUR""),
IF($D28=""Iene"",'Original Data'!R28*GOOGLEFINANCE(""Currency:JPYEUR""),
IF($D28=""HKD"",'Original Data'!R28*GOOGLEFINANCE(""Currency:HKDEUR""),
IF($D28=""KRW"",'Original Data'!R28*GOOGLEFINANCE("&amp;"""Currency:KRWEUR""),""""))))))))"),2.16237024)</f>
        <v>2.16237024</v>
      </c>
      <c r="S28" s="8" t="str">
        <f>IFERROR(__xludf.DUMMYFUNCTION("IF('Original Data'!S28=""-"",""-"",
IF($D28=""Euro"",'Original Data'!S28,
IF($D28=""Dolar"",'Original Data'!S28*GOOGLEFINANCE(""Currency:USDEUR""),
IF($D28=""Franco Suíço"",'Original Data'!S28*GOOGLEFINANCE(""Currency:CHFEUR""),
IF($D28=""Libra Esterlina"&amp;""", 'Original Data'!S28*GOOGLEFINANCE(""Currency:GBPEUR""),
IF($D28=""Iene"",'Original Data'!S28*GOOGLEFINANCE(""Currency:JPYEUR""),
IF($D28=""HKD"",'Original Data'!S28*GOOGLEFINANCE(""Currency:HKDEUR""),
IF($D28=""KRW"",'Original Data'!S28*GOOGLEFINANCE("&amp;"""Currency:KRWEUR""),""""))))))))"),"-")</f>
        <v>-</v>
      </c>
      <c r="T28" s="8" t="str">
        <f>IFERROR(__xludf.DUMMYFUNCTION("IF('Original Data'!T28=""-"",""-"",
IF($D28=""Euro"",'Original Data'!T28,
IF($D28=""Dolar"",'Original Data'!T28*GOOGLEFINANCE(""Currency:USDEUR""),
IF($D28=""Franco Suíço"",'Original Data'!T28*GOOGLEFINANCE(""Currency:CHFEUR""),
IF($D28=""Libra Esterlina"&amp;""", 'Original Data'!T28*GOOGLEFINANCE(""Currency:GBPEUR""),
IF($D28=""Iene"",'Original Data'!T28*GOOGLEFINANCE(""Currency:JPYEUR""),
IF($D28=""HKD"",'Original Data'!T28*GOOGLEFINANCE(""Currency:HKDEUR""),
IF($D28=""KRW"",'Original Data'!T28*GOOGLEFINANCE("&amp;"""Currency:KRWEUR""),""""))))))))"),"-")</f>
        <v>-</v>
      </c>
      <c r="U28" s="8" t="str">
        <f>IFERROR(__xludf.DUMMYFUNCTION("IF('Original Data'!U28=""-"",""-"",
IF($D28=""Euro"",'Original Data'!U28,
IF($D28=""Dolar"",'Original Data'!U28*GOOGLEFINANCE(""Currency:USDEUR""),
IF($D28=""Franco Suíço"",'Original Data'!U28*GOOGLEFINANCE(""Currency:CHFEUR""),
IF($D28=""Libra Esterlina"&amp;""", 'Original Data'!U28*GOOGLEFINANCE(""Currency:GBPEUR""),
IF($D28=""Iene"",'Original Data'!U28*GOOGLEFINANCE(""Currency:JPYEUR""),
IF($D28=""HKD"",'Original Data'!U28*GOOGLEFINANCE(""Currency:HKDEUR""),
IF($D28=""KRW"",'Original Data'!U28*GOOGLEFINANCE("&amp;"""Currency:KRWEUR""),""""))))))))"),"-")</f>
        <v>-</v>
      </c>
      <c r="V28" s="8" t="str">
        <f>IFERROR(__xludf.DUMMYFUNCTION("IF('Original Data'!V28=""-"",""-"",
IF($D28=""Euro"",'Original Data'!V28,
IF($D28=""Dolar"",'Original Data'!V28*GOOGLEFINANCE(""Currency:USDEUR""),
IF($D28=""Franco Suíço"",'Original Data'!V28*GOOGLEFINANCE(""Currency:CHFEUR""),
IF($D28=""Libra Esterlina"&amp;""", 'Original Data'!V28*GOOGLEFINANCE(""Currency:GBPEUR""),
IF($D28=""Iene"",'Original Data'!V28*GOOGLEFINANCE(""Currency:JPYEUR""),
IF($D28=""HKD"",'Original Data'!V28*GOOGLEFINANCE(""Currency:HKDEUR""),
IF($D28=""KRW"",'Original Data'!V28*GOOGLEFINANCE("&amp;"""Currency:KRWEUR""),""""))))))))"),"-")</f>
        <v>-</v>
      </c>
      <c r="W28" s="7" t="s">
        <v>43</v>
      </c>
      <c r="X28" s="7" t="s">
        <v>52</v>
      </c>
      <c r="Y28" s="7" t="s">
        <v>41</v>
      </c>
      <c r="Z28" s="7" t="s">
        <v>41</v>
      </c>
      <c r="AA28" s="7" t="s">
        <v>41</v>
      </c>
      <c r="AB28" s="7" t="s">
        <v>41</v>
      </c>
      <c r="AC28" s="7">
        <v>17.0</v>
      </c>
      <c r="AD28" s="7">
        <v>1.4</v>
      </c>
      <c r="AE28" s="7">
        <v>8.9</v>
      </c>
      <c r="AF28" s="7">
        <v>6.9</v>
      </c>
      <c r="AG28" s="7">
        <v>2.0</v>
      </c>
    </row>
    <row r="29">
      <c r="A29" s="16" t="s">
        <v>125</v>
      </c>
      <c r="B29" s="16" t="s">
        <v>126</v>
      </c>
      <c r="C29" s="16" t="s">
        <v>127</v>
      </c>
      <c r="D29" s="7" t="s">
        <v>79</v>
      </c>
      <c r="E29" s="8">
        <f>IFERROR(__xludf.DUMMYFUNCTION("IF($D29=""Euro"",'Original Data'!E29,
IF($D29=""Dolar"",'Original Data'!E29*GOOGLEFINANCE(""Currency:USDEUR""),
IF($D29=""Franco Suíço"",'Original Data'!E29*GOOGLEFINANCE(""Currency:CHFEUR""),
IF($D29=""Libra Esterlina"", 'Original Data'!E29*GOOGLEFINANCE"&amp;"(""Currency:GBPEUR""),
IF($D29=""Iene"",'Original Data'!E29*GOOGLEFINANCE(""Currency:JPYEUR""),
IF($D29=""HKD"",'Original Data'!E29*GOOGLEFINANCE(""Currency:HKDEUR""),
IF($D29=""KRW"",'Original Data'!E29*GOOGLEFINANCE(""Currency:KRWEUR""),"""")))))))"),76.11512682536)</f>
        <v>76.11512683</v>
      </c>
      <c r="F29" s="8">
        <f>IFERROR(__xludf.DUMMYFUNCTION("IF($D29=""Euro"",'Original Data'!F29,
IF($D29=""Dolar"",'Original Data'!F29*GOOGLEFINANCE(""Currency:USDEUR""),
IF($D29=""Franco Suíço"",'Original Data'!F29*GOOGLEFINANCE(""Currency:CHFEUR""),
IF($D29=""Libra Esterlina"", 'Original Data'!F29*GOOGLEFINANCE"&amp;"(""Currency:GBPEUR""),
IF($D29=""Iene"",'Original Data'!F29*GOOGLEFINANCE(""Currency:JPYEUR""),
IF($D29=""HKD"",'Original Data'!F29*GOOGLEFINANCE(""Currency:HKDEUR""),
IF($D29=""KRW"",'Original Data'!F29*GOOGLEFINANCE(""Currency:KRWEUR""),"""")))))))"),360.79908230169997)</f>
        <v>360.7990823</v>
      </c>
      <c r="G29" s="8">
        <f>IFERROR(__xludf.DUMMYFUNCTION("IF($D29=""Euro"",'Original Data'!G29,
IF($D29=""Dolar"",'Original Data'!G29*GOOGLEFINANCE(""Currency:USDEUR""),
IF($D29=""Franco Suíço"",'Original Data'!G29*GOOGLEFINANCE(""Currency:CHFEUR""),
IF($D29=""Libra Esterlina"", 'Original Data'!G29*GOOGLEFINANCE"&amp;"(""Currency:GBPEUR""),
IF($D29=""Iene"",'Original Data'!G29*GOOGLEFINANCE(""Currency:JPYEUR""),
IF($D29=""HKD"",'Original Data'!G29*GOOGLEFINANCE(""Currency:HKDEUR""),
IF($D29=""KRW"",'Original Data'!G29*GOOGLEFINANCE(""Currency:KRWEUR""),"""")))))))"),313.931606200366)</f>
        <v>313.9316062</v>
      </c>
      <c r="H29" s="17">
        <v>0.358</v>
      </c>
      <c r="I29" s="7">
        <v>22.74</v>
      </c>
      <c r="J29" s="9">
        <v>0.0254</v>
      </c>
      <c r="K29" s="9">
        <v>0.2377</v>
      </c>
      <c r="L29" s="9">
        <v>0.1562</v>
      </c>
      <c r="M29" s="9">
        <v>0.4135</v>
      </c>
      <c r="N29" s="8">
        <f>IFERROR(__xludf.DUMMYFUNCTION("IF('Original Data'!N29=""-"",""-"",
IF($D29=""Euro"",'Original Data'!N29,
IF($D29=""Dolar"",'Original Data'!N29*GOOGLEFINANCE(""Currency:USDEUR""),
IF($D29=""Franco Suíço"",'Original Data'!N29*GOOGLEFINANCE(""Currency:CHFEUR""),
IF($D29=""Libra Esterlina"&amp;""", 'Original Data'!N29*GOOGLEFINANCE(""Currency:GBPEUR""),
IF($D29=""Iene"",'Original Data'!N29*GOOGLEFINANCE(""Currency:JPYEUR""),
IF($D29=""HKD"",'Original Data'!N29*GOOGLEFINANCE(""Currency:HKDEUR""),
IF($D29=""KRW"",'Original Data'!N29*GOOGLEFINANCE("&amp;"""Currency:KRWEUR""),""""))))))))"),16.12625295589)</f>
        <v>16.12625296</v>
      </c>
      <c r="O29" s="8">
        <f>IFERROR(__xludf.DUMMYFUNCTION("IF('Original Data'!O29=""-"",""-"",
IF($D29=""Euro"",'Original Data'!O29,
IF($D29=""Dolar"",'Original Data'!O29*GOOGLEFINANCE(""Currency:USDEUR""),
IF($D29=""Franco Suíço"",'Original Data'!O29*GOOGLEFINANCE(""Currency:CHFEUR""),
IF($D29=""Libra Esterlina"&amp;""", 'Original Data'!O29*GOOGLEFINANCE(""Currency:GBPEUR""),
IF($D29=""Iene"",'Original Data'!O29*GOOGLEFINANCE(""Currency:JPYEUR""),
IF($D29=""HKD"",'Original Data'!O29*GOOGLEFINANCE(""Currency:HKDEUR""),
IF($D29=""KRW"",'Original Data'!O29*GOOGLEFINANCE("&amp;"""Currency:KRWEUR""),""""))))))))"),55.935172699350005)</f>
        <v>55.9351727</v>
      </c>
      <c r="P29" s="8">
        <f>IFERROR(__xludf.DUMMYFUNCTION("IF('Original Data'!P29=""-"",""-"",
IF($D29=""Euro"",'Original Data'!P29,
IF($D29=""Dolar"",'Original Data'!P29*GOOGLEFINANCE(""Currency:USDEUR""),
IF($D29=""Franco Suíço"",'Original Data'!P29*GOOGLEFINANCE(""Currency:CHFEUR""),
IF($D29=""Libra Esterlina"&amp;""", 'Original Data'!P29*GOOGLEFINANCE(""Currency:GBPEUR""),
IF($D29=""Iene"",'Original Data'!P29*GOOGLEFINANCE(""Currency:JPYEUR""),
IF($D29=""HKD"",'Original Data'!P29*GOOGLEFINANCE(""Currency:HKDEUR""),
IF($D29=""KRW"",'Original Data'!P29*GOOGLEFINANCE("&amp;"""Currency:KRWEUR""),""""))))))))"),60.48082789497)</f>
        <v>60.48082789</v>
      </c>
      <c r="Q29" s="8">
        <f>IFERROR(__xludf.DUMMYFUNCTION("IF('Original Data'!Q29=""-"",""-"",
IF($D29=""Euro"",'Original Data'!Q29,
IF($D29=""Dolar"",'Original Data'!Q29*GOOGLEFINANCE(""Currency:USDEUR""),
IF($D29=""Franco Suíço"",'Original Data'!Q29*GOOGLEFINANCE(""Currency:CHFEUR""),
IF($D29=""Libra Esterlina"&amp;""", 'Original Data'!Q29*GOOGLEFINANCE(""Currency:GBPEUR""),
IF($D29=""Iene"",'Original Data'!Q29*GOOGLEFINANCE(""Currency:JPYEUR""),
IF($D29=""HKD"",'Original Data'!Q29*GOOGLEFINANCE(""Currency:HKDEUR""),
IF($D29=""KRW"",'Original Data'!Q29*GOOGLEFINANCE("&amp;"""Currency:KRWEUR""),""""))))))))"),57.381517534320004)</f>
        <v>57.38151753</v>
      </c>
      <c r="R29" s="8">
        <f>IFERROR(__xludf.DUMMYFUNCTION("IF('Original Data'!R29=""-"",""-"",
IF($D29=""Euro"",'Original Data'!R29,
IF($D29=""Dolar"",'Original Data'!R29*GOOGLEFINANCE(""Currency:USDEUR""),
IF($D29=""Franco Suíço"",'Original Data'!R29*GOOGLEFINANCE(""Currency:CHFEUR""),
IF($D29=""Libra Esterlina"&amp;""", 'Original Data'!R29*GOOGLEFINANCE(""Currency:GBPEUR""),
IF($D29=""Iene"",'Original Data'!R29*GOOGLEFINANCE(""Currency:JPYEUR""),
IF($D29=""HKD"",'Original Data'!R29*GOOGLEFINANCE(""Currency:HKDEUR""),
IF($D29=""KRW"",'Original Data'!R29*GOOGLEFINANCE("&amp;"""Currency:KRWEUR""),""""))))))))"),61.789425602799994)</f>
        <v>61.7894256</v>
      </c>
      <c r="S29" s="8">
        <f>IFERROR(__xludf.DUMMYFUNCTION("IF('Original Data'!S29=""-"",""-"",
IF($D29=""Euro"",'Original Data'!S29,
IF($D29=""Dolar"",'Original Data'!S29*GOOGLEFINANCE(""Currency:USDEUR""),
IF($D29=""Franco Suíço"",'Original Data'!S29*GOOGLEFINANCE(""Currency:CHFEUR""),
IF($D29=""Libra Esterlina"&amp;""", 'Original Data'!S29*GOOGLEFINANCE(""Currency:GBPEUR""),
IF($D29=""Iene"",'Original Data'!S29*GOOGLEFINANCE(""Currency:JPYEUR""),
IF($D29=""HKD"",'Original Data'!S29*GOOGLEFINANCE(""Currency:HKDEUR""),
IF($D29=""KRW"",'Original Data'!S29*GOOGLEFINANCE("&amp;"""Currency:KRWEUR""),""""))))))))"),19.983172515809997)</f>
        <v>19.98317252</v>
      </c>
      <c r="T29" s="8">
        <f>IFERROR(__xludf.DUMMYFUNCTION("IF('Original Data'!T29=""-"",""-"",
IF($D29=""Euro"",'Original Data'!T29,
IF($D29=""Dolar"",'Original Data'!T29*GOOGLEFINANCE(""Currency:USDEUR""),
IF($D29=""Franco Suíço"",'Original Data'!T29*GOOGLEFINANCE(""Currency:CHFEUR""),
IF($D29=""Libra Esterlina"&amp;""", 'Original Data'!T29*GOOGLEFINANCE(""Currency:GBPEUR""),
IF($D29=""Iene"",'Original Data'!T29*GOOGLEFINANCE(""Currency:JPYEUR""),
IF($D29=""HKD"",'Original Data'!T29*GOOGLEFINANCE(""Currency:HKDEUR""),
IF($D29=""KRW"",'Original Data'!T29*GOOGLEFINANCE("&amp;"""Currency:KRWEUR""),""""))))))))"),22.836505863710002)</f>
        <v>22.83650586</v>
      </c>
      <c r="U29" s="8">
        <f>IFERROR(__xludf.DUMMYFUNCTION("IF('Original Data'!U29=""-"",""-"",
IF($D29=""Euro"",'Original Data'!U29,
IF($D29=""Dolar"",'Original Data'!U29*GOOGLEFINANCE(""Currency:USDEUR""),
IF($D29=""Franco Suíço"",'Original Data'!U29*GOOGLEFINANCE(""Currency:CHFEUR""),
IF($D29=""Libra Esterlina"&amp;""", 'Original Data'!U29*GOOGLEFINANCE(""Currency:GBPEUR""),
IF($D29=""Iene"",'Original Data'!U29*GOOGLEFINANCE(""Currency:JPYEUR""),
IF($D29=""HKD"",'Original Data'!U29*GOOGLEFINANCE(""Currency:HKDEUR""),
IF($D29=""KRW"",'Original Data'!U29*GOOGLEFINANCE("&amp;"""Currency:KRWEUR""),""""))))))))"),21.931310456789998)</f>
        <v>21.93131046</v>
      </c>
      <c r="V29" s="8">
        <f>IFERROR(__xludf.DUMMYFUNCTION("IF('Original Data'!V29=""-"",""-"",
IF($D29=""Euro"",'Original Data'!V29,
IF($D29=""Dolar"",'Original Data'!V29*GOOGLEFINANCE(""Currency:USDEUR""),
IF($D29=""Franco Suíço"",'Original Data'!V29*GOOGLEFINANCE(""Currency:CHFEUR""),
IF($D29=""Libra Esterlina"&amp;""", 'Original Data'!V29*GOOGLEFINANCE(""Currency:GBPEUR""),
IF($D29=""Iene"",'Original Data'!V29*GOOGLEFINANCE(""Currency:JPYEUR""),
IF($D29=""HKD"",'Original Data'!V29*GOOGLEFINANCE(""Currency:HKDEUR""),
IF($D29=""KRW"",'Original Data'!V29*GOOGLEFINANCE("&amp;"""Currency:KRWEUR""),""""))))))))"),21.38032194823)</f>
        <v>21.38032195</v>
      </c>
      <c r="W29" s="7" t="s">
        <v>36</v>
      </c>
      <c r="X29" s="7" t="s">
        <v>36</v>
      </c>
      <c r="Y29" s="7" t="s">
        <v>36</v>
      </c>
      <c r="Z29" s="7" t="s">
        <v>36</v>
      </c>
      <c r="AA29" s="7" t="s">
        <v>36</v>
      </c>
      <c r="AB29" s="7" t="s">
        <v>36</v>
      </c>
      <c r="AC29" s="7">
        <v>21.0</v>
      </c>
      <c r="AD29" s="7">
        <v>0.9</v>
      </c>
      <c r="AE29" s="7">
        <v>12.5</v>
      </c>
      <c r="AF29" s="7">
        <v>7.7</v>
      </c>
      <c r="AG29" s="7">
        <v>2.0</v>
      </c>
    </row>
    <row r="30">
      <c r="A30" s="16" t="s">
        <v>128</v>
      </c>
      <c r="B30" s="16" t="s">
        <v>129</v>
      </c>
      <c r="C30" s="16" t="s">
        <v>130</v>
      </c>
      <c r="D30" s="7" t="s">
        <v>33</v>
      </c>
      <c r="E30" s="8">
        <f>IFERROR(__xludf.DUMMYFUNCTION("IF($D30=""Euro"",'Original Data'!E30,
IF($D30=""Dolar"",'Original Data'!E30*GOOGLEFINANCE(""Currency:USDEUR""),
IF($D30=""Franco Suíço"",'Original Data'!E30*GOOGLEFINANCE(""Currency:CHFEUR""),
IF($D30=""Libra Esterlina"", 'Original Data'!E30*GOOGLEFINANCE"&amp;"(""Currency:GBPEUR""),
IF($D30=""Iene"",'Original Data'!E30*GOOGLEFINANCE(""Currency:JPYEUR""),
IF($D30=""HKD"",'Original Data'!E30*GOOGLEFINANCE(""Currency:HKDEUR""),
IF($D30=""KRW"",'Original Data'!E30*GOOGLEFINANCE(""Currency:KRWEUR""),"""")))))))"),9.35)</f>
        <v>9.35</v>
      </c>
      <c r="F30" s="8">
        <f>IFERROR(__xludf.DUMMYFUNCTION("IF($D30=""Euro"",'Original Data'!F30,
IF($D30=""Dolar"",'Original Data'!F30*GOOGLEFINANCE(""Currency:USDEUR""),
IF($D30=""Franco Suíço"",'Original Data'!F30*GOOGLEFINANCE(""Currency:CHFEUR""),
IF($D30=""Libra Esterlina"", 'Original Data'!F30*GOOGLEFINANCE"&amp;"(""Currency:GBPEUR""),
IF($D30=""Iene"",'Original Data'!F30*GOOGLEFINANCE(""Currency:JPYEUR""),
IF($D30=""HKD"",'Original Data'!F30*GOOGLEFINANCE(""Currency:HKDEUR""),
IF($D30=""KRW"",'Original Data'!F30*GOOGLEFINANCE(""Currency:KRWEUR""),"""")))))))"),10.72)</f>
        <v>10.72</v>
      </c>
      <c r="G30" s="8">
        <f>IFERROR(__xludf.DUMMYFUNCTION("IF($D30=""Euro"",'Original Data'!G30,
IF($D30=""Dolar"",'Original Data'!G30*GOOGLEFINANCE(""Currency:USDEUR""),
IF($D30=""Franco Suíço"",'Original Data'!G30*GOOGLEFINANCE(""Currency:CHFEUR""),
IF($D30=""Libra Esterlina"", 'Original Data'!G30*GOOGLEFINANCE"&amp;"(""Currency:GBPEUR""),
IF($D30=""Iene"",'Original Data'!G30*GOOGLEFINANCE(""Currency:JPYEUR""),
IF($D30=""HKD"",'Original Data'!G30*GOOGLEFINANCE(""Currency:HKDEUR""),
IF($D30=""KRW"",'Original Data'!G30*GOOGLEFINANCE(""Currency:KRWEUR""),"""")))))))"),2.73)</f>
        <v>2.73</v>
      </c>
      <c r="H30" s="17">
        <v>1.5</v>
      </c>
      <c r="I30" s="7">
        <v>4.86</v>
      </c>
      <c r="J30" s="9">
        <v>0.0483</v>
      </c>
      <c r="K30" s="9">
        <v>0.0605</v>
      </c>
      <c r="L30" s="9">
        <v>0.0427</v>
      </c>
      <c r="M30" s="9">
        <v>0.1085</v>
      </c>
      <c r="N30" s="8">
        <f>IFERROR(__xludf.DUMMYFUNCTION("IF('Original Data'!N30=""-"",""-"",
IF($D30=""Euro"",'Original Data'!N30,
IF($D30=""Dolar"",'Original Data'!N30*GOOGLEFINANCE(""Currency:USDEUR""),
IF($D30=""Franco Suíço"",'Original Data'!N30*GOOGLEFINANCE(""Currency:CHFEUR""),
IF($D30=""Libra Esterlina"&amp;""", 'Original Data'!N30*GOOGLEFINANCE(""Currency:GBPEUR""),
IF($D30=""Iene"",'Original Data'!N30*GOOGLEFINANCE(""Currency:JPYEUR""),
IF($D30=""HKD"",'Original Data'!N30*GOOGLEFINANCE(""Currency:HKDEUR""),
IF($D30=""KRW"",'Original Data'!N30*GOOGLEFINANCE("&amp;"""Currency:KRWEUR""),""""))))))))"),2.11)</f>
        <v>2.11</v>
      </c>
      <c r="O30" s="8">
        <f>IFERROR(__xludf.DUMMYFUNCTION("IF('Original Data'!O30=""-"",""-"",
IF($D30=""Euro"",'Original Data'!O30,
IF($D30=""Dolar"",'Original Data'!O30*GOOGLEFINANCE(""Currency:USDEUR""),
IF($D30=""Franco Suíço"",'Original Data'!O30*GOOGLEFINANCE(""Currency:CHFEUR""),
IF($D30=""Libra Esterlina"&amp;""", 'Original Data'!O30*GOOGLEFINANCE(""Currency:GBPEUR""),
IF($D30=""Iene"",'Original Data'!O30*GOOGLEFINANCE(""Currency:JPYEUR""),
IF($D30=""HKD"",'Original Data'!O30*GOOGLEFINANCE(""Currency:HKDEUR""),
IF($D30=""KRW"",'Original Data'!O30*GOOGLEFINANCE("&amp;"""Currency:KRWEUR""),""""))))))))"),5.01)</f>
        <v>5.01</v>
      </c>
      <c r="P30" s="8">
        <f>IFERROR(__xludf.DUMMYFUNCTION("IF('Original Data'!P30=""-"",""-"",
IF($D30=""Euro"",'Original Data'!P30,
IF($D30=""Dolar"",'Original Data'!P30*GOOGLEFINANCE(""Currency:USDEUR""),
IF($D30=""Franco Suíço"",'Original Data'!P30*GOOGLEFINANCE(""Currency:CHFEUR""),
IF($D30=""Libra Esterlina"&amp;""", 'Original Data'!P30*GOOGLEFINANCE(""Currency:GBPEUR""),
IF($D30=""Iene"",'Original Data'!P30*GOOGLEFINANCE(""Currency:JPYEUR""),
IF($D30=""HKD"",'Original Data'!P30*GOOGLEFINANCE(""Currency:HKDEUR""),
IF($D30=""KRW"",'Original Data'!P30*GOOGLEFINANCE("&amp;"""Currency:KRWEUR""),""""))))))))"),4.75)</f>
        <v>4.75</v>
      </c>
      <c r="Q30" s="8">
        <f>IFERROR(__xludf.DUMMYFUNCTION("IF('Original Data'!Q30=""-"",""-"",
IF($D30=""Euro"",'Original Data'!Q30,
IF($D30=""Dolar"",'Original Data'!Q30*GOOGLEFINANCE(""Currency:USDEUR""),
IF($D30=""Franco Suíço"",'Original Data'!Q30*GOOGLEFINANCE(""Currency:CHFEUR""),
IF($D30=""Libra Esterlina"&amp;""", 'Original Data'!Q30*GOOGLEFINANCE(""Currency:GBPEUR""),
IF($D30=""Iene"",'Original Data'!Q30*GOOGLEFINANCE(""Currency:JPYEUR""),
IF($D30=""HKD"",'Original Data'!Q30*GOOGLEFINANCE(""Currency:HKDEUR""),
IF($D30=""KRW"",'Original Data'!Q30*GOOGLEFINANCE("&amp;"""Currency:KRWEUR""),""""))))))))"),4.67)</f>
        <v>4.67</v>
      </c>
      <c r="R30" s="8">
        <f>IFERROR(__xludf.DUMMYFUNCTION("IF('Original Data'!R30=""-"",""-"",
IF($D30=""Euro"",'Original Data'!R30,
IF($D30=""Dolar"",'Original Data'!R30*GOOGLEFINANCE(""Currency:USDEUR""),
IF($D30=""Franco Suíço"",'Original Data'!R30*GOOGLEFINANCE(""Currency:CHFEUR""),
IF($D30=""Libra Esterlina"&amp;""", 'Original Data'!R30*GOOGLEFINANCE(""Currency:GBPEUR""),
IF($D30=""Iene"",'Original Data'!R30*GOOGLEFINANCE(""Currency:JPYEUR""),
IF($D30=""HKD"",'Original Data'!R30*GOOGLEFINANCE(""Currency:HKDEUR""),
IF($D30=""KRW"",'Original Data'!R30*GOOGLEFINANCE("&amp;"""Currency:KRWEUR""),""""))))))))"),6.71)</f>
        <v>6.71</v>
      </c>
      <c r="S30" s="8">
        <f>IFERROR(__xludf.DUMMYFUNCTION("IF('Original Data'!S30=""-"",""-"",
IF($D30=""Euro"",'Original Data'!S30,
IF($D30=""Dolar"",'Original Data'!S30*GOOGLEFINANCE(""Currency:USDEUR""),
IF($D30=""Franco Suíço"",'Original Data'!S30*GOOGLEFINANCE(""Currency:CHFEUR""),
IF($D30=""Libra Esterlina"&amp;""", 'Original Data'!S30*GOOGLEFINANCE(""Currency:GBPEUR""),
IF($D30=""Iene"",'Original Data'!S30*GOOGLEFINANCE(""Currency:JPYEUR""),
IF($D30=""HKD"",'Original Data'!S30*GOOGLEFINANCE(""Currency:HKDEUR""),
IF($D30=""KRW"",'Original Data'!S30*GOOGLEFINANCE("&amp;"""Currency:KRWEUR""),""""))))))))"),0.47354)</f>
        <v>0.47354</v>
      </c>
      <c r="T30" s="8">
        <f>IFERROR(__xludf.DUMMYFUNCTION("IF('Original Data'!T30=""-"",""-"",
IF($D30=""Euro"",'Original Data'!T30,
IF($D30=""Dolar"",'Original Data'!T30*GOOGLEFINANCE(""Currency:USDEUR""),
IF($D30=""Franco Suíço"",'Original Data'!T30*GOOGLEFINANCE(""Currency:CHFEUR""),
IF($D30=""Libra Esterlina"&amp;""", 'Original Data'!T30*GOOGLEFINANCE(""Currency:GBPEUR""),
IF($D30=""Iene"",'Original Data'!T30*GOOGLEFINANCE(""Currency:JPYEUR""),
IF($D30=""HKD"",'Original Data'!T30*GOOGLEFINANCE(""Currency:HKDEUR""),
IF($D30=""KRW"",'Original Data'!T30*GOOGLEFINANCE("&amp;"""Currency:KRWEUR""),""""))))))))"),0.37438)</f>
        <v>0.37438</v>
      </c>
      <c r="U30" s="8">
        <f>IFERROR(__xludf.DUMMYFUNCTION("IF('Original Data'!U30=""-"",""-"",
IF($D30=""Euro"",'Original Data'!U30,
IF($D30=""Dolar"",'Original Data'!U30*GOOGLEFINANCE(""Currency:USDEUR""),
IF($D30=""Franco Suíço"",'Original Data'!U30*GOOGLEFINANCE(""Currency:CHFEUR""),
IF($D30=""Libra Esterlina"&amp;""", 'Original Data'!U30*GOOGLEFINANCE(""Currency:GBPEUR""),
IF($D30=""Iene"",'Original Data'!U30*GOOGLEFINANCE(""Currency:JPYEUR""),
IF($D30=""HKD"",'Original Data'!U30*GOOGLEFINANCE(""Currency:HKDEUR""),
IF($D30=""KRW"",'Original Data'!U30*GOOGLEFINANCE("&amp;"""Currency:KRWEUR""),""""))))))))"),0.39784)</f>
        <v>0.39784</v>
      </c>
      <c r="V30" s="8">
        <f>IFERROR(__xludf.DUMMYFUNCTION("IF('Original Data'!V30=""-"",""-"",
IF($D30=""Euro"",'Original Data'!V30,
IF($D30=""Dolar"",'Original Data'!V30*GOOGLEFINANCE(""Currency:USDEUR""),
IF($D30=""Franco Suíço"",'Original Data'!V30*GOOGLEFINANCE(""Currency:CHFEUR""),
IF($D30=""Libra Esterlina"&amp;""", 'Original Data'!V30*GOOGLEFINANCE(""Currency:GBPEUR""),
IF($D30=""Iene"",'Original Data'!V30*GOOGLEFINANCE(""Currency:JPYEUR""),
IF($D30=""HKD"",'Original Data'!V30*GOOGLEFINANCE(""Currency:HKDEUR""),
IF($D30=""KRW"",'Original Data'!V30*GOOGLEFINANCE("&amp;"""Currency:KRWEUR""),""""))))))))"),0.98581)</f>
        <v>0.98581</v>
      </c>
      <c r="W30" s="7" t="s">
        <v>43</v>
      </c>
      <c r="X30" s="7" t="s">
        <v>43</v>
      </c>
      <c r="Y30" s="7" t="s">
        <v>41</v>
      </c>
      <c r="Z30" s="7" t="s">
        <v>41</v>
      </c>
      <c r="AA30" s="7" t="s">
        <v>59</v>
      </c>
      <c r="AB30" s="7" t="s">
        <v>114</v>
      </c>
      <c r="AC30" s="7" t="s">
        <v>41</v>
      </c>
      <c r="AD30" s="7" t="s">
        <v>41</v>
      </c>
      <c r="AE30" s="7" t="s">
        <v>41</v>
      </c>
      <c r="AF30" s="7" t="s">
        <v>41</v>
      </c>
      <c r="AG30" s="7" t="s">
        <v>41</v>
      </c>
    </row>
    <row r="31">
      <c r="A31" s="16" t="s">
        <v>131</v>
      </c>
      <c r="B31" s="16" t="s">
        <v>132</v>
      </c>
      <c r="C31" s="16" t="s">
        <v>133</v>
      </c>
      <c r="D31" s="7" t="s">
        <v>33</v>
      </c>
      <c r="E31" s="8">
        <f>IFERROR(__xludf.DUMMYFUNCTION("IF($D31=""Euro"",'Original Data'!E31,
IF($D31=""Dolar"",'Original Data'!E31*GOOGLEFINANCE(""Currency:USDEUR""),
IF($D31=""Franco Suíço"",'Original Data'!E31*GOOGLEFINANCE(""Currency:CHFEUR""),
IF($D31=""Libra Esterlina"", 'Original Data'!E31*GOOGLEFINANCE"&amp;"(""Currency:GBPEUR""),
IF($D31=""Iene"",'Original Data'!E31*GOOGLEFINANCE(""Currency:JPYEUR""),
IF($D31=""HKD"",'Original Data'!E31*GOOGLEFINANCE(""Currency:HKDEUR""),
IF($D31=""KRW"",'Original Data'!E31*GOOGLEFINANCE(""Currency:KRWEUR""),"""")))))))"),11.8)</f>
        <v>11.8</v>
      </c>
      <c r="F31" s="8">
        <f>IFERROR(__xludf.DUMMYFUNCTION("IF($D31=""Euro"",'Original Data'!F31,
IF($D31=""Dolar"",'Original Data'!F31*GOOGLEFINANCE(""Currency:USDEUR""),
IF($D31=""Franco Suíço"",'Original Data'!F31*GOOGLEFINANCE(""Currency:CHFEUR""),
IF($D31=""Libra Esterlina"", 'Original Data'!F31*GOOGLEFINANCE"&amp;"(""Currency:GBPEUR""),
IF($D31=""Iene"",'Original Data'!F31*GOOGLEFINANCE(""Currency:JPYEUR""),
IF($D31=""HKD"",'Original Data'!F31*GOOGLEFINANCE(""Currency:HKDEUR""),
IF($D31=""KRW"",'Original Data'!F31*GOOGLEFINANCE(""Currency:KRWEUR""),"""")))))))"),28.05)</f>
        <v>28.05</v>
      </c>
      <c r="G31" s="8">
        <f>IFERROR(__xludf.DUMMYFUNCTION("IF($D31=""Euro"",'Original Data'!G31,
IF($D31=""Dolar"",'Original Data'!G31*GOOGLEFINANCE(""Currency:USDEUR""),
IF($D31=""Franco Suíço"",'Original Data'!G31*GOOGLEFINANCE(""Currency:CHFEUR""),
IF($D31=""Libra Esterlina"", 'Original Data'!G31*GOOGLEFINANCE"&amp;"(""Currency:GBPEUR""),
IF($D31=""Iene"",'Original Data'!G31*GOOGLEFINANCE(""Currency:JPYEUR""),
IF($D31=""HKD"",'Original Data'!G31*GOOGLEFINANCE(""Currency:HKDEUR""),
IF($D31=""KRW"",'Original Data'!G31*GOOGLEFINANCE(""Currency:KRWEUR""),"""")))))))"),3.55)</f>
        <v>3.55</v>
      </c>
      <c r="H31" s="17">
        <v>0.394</v>
      </c>
      <c r="I31" s="7">
        <v>16.65</v>
      </c>
      <c r="J31" s="9">
        <v>0.0442</v>
      </c>
      <c r="K31" s="9">
        <v>0.0684</v>
      </c>
      <c r="L31" s="9">
        <v>0.0582</v>
      </c>
      <c r="M31" s="9">
        <v>0.1124</v>
      </c>
      <c r="N31" s="8">
        <f>IFERROR(__xludf.DUMMYFUNCTION("IF('Original Data'!N31=""-"",""-"",
IF($D31=""Euro"",'Original Data'!N31,
IF($D31=""Dolar"",'Original Data'!N31*GOOGLEFINANCE(""Currency:USDEUR""),
IF($D31=""Franco Suíço"",'Original Data'!N31*GOOGLEFINANCE(""Currency:CHFEUR""),
IF($D31=""Libra Esterlina"&amp;""", 'Original Data'!N31*GOOGLEFINANCE(""Currency:GBPEUR""),
IF($D31=""Iene"",'Original Data'!N31*GOOGLEFINANCE(""Currency:JPYEUR""),
IF($D31=""HKD"",'Original Data'!N31*GOOGLEFINANCE(""Currency:HKDEUR""),
IF($D31=""KRW"",'Original Data'!N31*GOOGLEFINANCE("&amp;"""Currency:KRWEUR""),""""))))))))"),1.71)</f>
        <v>1.71</v>
      </c>
      <c r="O31" s="8">
        <f>IFERROR(__xludf.DUMMYFUNCTION("IF('Original Data'!O31=""-"",""-"",
IF($D31=""Euro"",'Original Data'!O31,
IF($D31=""Dolar"",'Original Data'!O31*GOOGLEFINANCE(""Currency:USDEUR""),
IF($D31=""Franco Suíço"",'Original Data'!O31*GOOGLEFINANCE(""Currency:CHFEUR""),
IF($D31=""Libra Esterlina"&amp;""", 'Original Data'!O31*GOOGLEFINANCE(""Currency:GBPEUR""),
IF($D31=""Iene"",'Original Data'!O31*GOOGLEFINANCE(""Currency:JPYEUR""),
IF($D31=""HKD"",'Original Data'!O31*GOOGLEFINANCE(""Currency:HKDEUR""),
IF($D31=""KRW"",'Original Data'!O31*GOOGLEFINANCE("&amp;"""Currency:KRWEUR""),""""))))))))"),1.25)</f>
        <v>1.25</v>
      </c>
      <c r="P31" s="8">
        <f>IFERROR(__xludf.DUMMYFUNCTION("IF('Original Data'!P31=""-"",""-"",
IF($D31=""Euro"",'Original Data'!P31,
IF($D31=""Dolar"",'Original Data'!P31*GOOGLEFINANCE(""Currency:USDEUR""),
IF($D31=""Franco Suíço"",'Original Data'!P31*GOOGLEFINANCE(""Currency:CHFEUR""),
IF($D31=""Libra Esterlina"&amp;""", 'Original Data'!P31*GOOGLEFINANCE(""Currency:GBPEUR""),
IF($D31=""Iene"",'Original Data'!P31*GOOGLEFINANCE(""Currency:JPYEUR""),
IF($D31=""HKD"",'Original Data'!P31*GOOGLEFINANCE(""Currency:HKDEUR""),
IF($D31=""KRW"",'Original Data'!P31*GOOGLEFINANCE("&amp;"""Currency:KRWEUR""),""""))))))))"),1.25)</f>
        <v>1.25</v>
      </c>
      <c r="Q31" s="8">
        <f>IFERROR(__xludf.DUMMYFUNCTION("IF('Original Data'!Q31=""-"",""-"",
IF($D31=""Euro"",'Original Data'!Q31,
IF($D31=""Dolar"",'Original Data'!Q31*GOOGLEFINANCE(""Currency:USDEUR""),
IF($D31=""Franco Suíço"",'Original Data'!Q31*GOOGLEFINANCE(""Currency:CHFEUR""),
IF($D31=""Libra Esterlina"&amp;""", 'Original Data'!Q31*GOOGLEFINANCE(""Currency:GBPEUR""),
IF($D31=""Iene"",'Original Data'!Q31*GOOGLEFINANCE(""Currency:JPYEUR""),
IF($D31=""HKD"",'Original Data'!Q31*GOOGLEFINANCE(""Currency:HKDEUR""),
IF($D31=""KRW"",'Original Data'!Q31*GOOGLEFINANCE("&amp;"""Currency:KRWEUR""),""""))))))))"),1.19)</f>
        <v>1.19</v>
      </c>
      <c r="R31" s="8">
        <f>IFERROR(__xludf.DUMMYFUNCTION("IF('Original Data'!R31=""-"",""-"",
IF($D31=""Euro"",'Original Data'!R31,
IF($D31=""Dolar"",'Original Data'!R31*GOOGLEFINANCE(""Currency:USDEUR""),
IF($D31=""Franco Suíço"",'Original Data'!R31*GOOGLEFINANCE(""Currency:CHFEUR""),
IF($D31=""Libra Esterlina"&amp;""", 'Original Data'!R31*GOOGLEFINANCE(""Currency:GBPEUR""),
IF($D31=""Iene"",'Original Data'!R31*GOOGLEFINANCE(""Currency:JPYEUR""),
IF($D31=""HKD"",'Original Data'!R31*GOOGLEFINANCE(""Currency:HKDEUR""),
IF($D31=""KRW"",'Original Data'!R31*GOOGLEFINANCE("&amp;"""Currency:KRWEUR""),""""))))))))"),1.23)</f>
        <v>1.23</v>
      </c>
      <c r="S31" s="8">
        <f>IFERROR(__xludf.DUMMYFUNCTION("IF('Original Data'!S31=""-"",""-"",
IF($D31=""Euro"",'Original Data'!S31,
IF($D31=""Dolar"",'Original Data'!S31*GOOGLEFINANCE(""Currency:USDEUR""),
IF($D31=""Franco Suíço"",'Original Data'!S31*GOOGLEFINANCE(""Currency:CHFEUR""),
IF($D31=""Libra Esterlina"&amp;""", 'Original Data'!S31*GOOGLEFINANCE(""Currency:GBPEUR""),
IF($D31=""Iene"",'Original Data'!S31*GOOGLEFINANCE(""Currency:JPYEUR""),
IF($D31=""HKD"",'Original Data'!S31*GOOGLEFINANCE(""Currency:HKDEUR""),
IF($D31=""KRW"",'Original Data'!S31*GOOGLEFINANCE("&amp;"""Currency:KRWEUR""),""""))))))))"),0.6393)</f>
        <v>0.6393</v>
      </c>
      <c r="T31" s="8">
        <f>IFERROR(__xludf.DUMMYFUNCTION("IF('Original Data'!T31=""-"",""-"",
IF($D31=""Euro"",'Original Data'!T31,
IF($D31=""Dolar"",'Original Data'!T31*GOOGLEFINANCE(""Currency:USDEUR""),
IF($D31=""Franco Suíço"",'Original Data'!T31*GOOGLEFINANCE(""Currency:CHFEUR""),
IF($D31=""Libra Esterlina"&amp;""", 'Original Data'!T31*GOOGLEFINANCE(""Currency:GBPEUR""),
IF($D31=""Iene"",'Original Data'!T31*GOOGLEFINANCE(""Currency:JPYEUR""),
IF($D31=""HKD"",'Original Data'!T31*GOOGLEFINANCE(""Currency:HKDEUR""),
IF($D31=""KRW"",'Original Data'!T31*GOOGLEFINANCE("&amp;"""Currency:KRWEUR""),""""))))))))"),0.7025)</f>
        <v>0.7025</v>
      </c>
      <c r="U31" s="8">
        <f>IFERROR(__xludf.DUMMYFUNCTION("IF('Original Data'!U31=""-"",""-"",
IF($D31=""Euro"",'Original Data'!U31,
IF($D31=""Dolar"",'Original Data'!U31*GOOGLEFINANCE(""Currency:USDEUR""),
IF($D31=""Franco Suíço"",'Original Data'!U31*GOOGLEFINANCE(""Currency:CHFEUR""),
IF($D31=""Libra Esterlina"&amp;""", 'Original Data'!U31*GOOGLEFINANCE(""Currency:GBPEUR""),
IF($D31=""Iene"",'Original Data'!U31*GOOGLEFINANCE(""Currency:JPYEUR""),
IF($D31=""HKD"",'Original Data'!U31*GOOGLEFINANCE(""Currency:HKDEUR""),
IF($D31=""KRW"",'Original Data'!U31*GOOGLEFINANCE("&amp;"""Currency:KRWEUR""),""""))))))))"),0.6535)</f>
        <v>0.6535</v>
      </c>
      <c r="V31" s="8">
        <f>IFERROR(__xludf.DUMMYFUNCTION("IF('Original Data'!V31=""-"",""-"",
IF($D31=""Euro"",'Original Data'!V31,
IF($D31=""Dolar"",'Original Data'!V31*GOOGLEFINANCE(""Currency:USDEUR""),
IF($D31=""Franco Suíço"",'Original Data'!V31*GOOGLEFINANCE(""Currency:CHFEUR""),
IF($D31=""Libra Esterlina"&amp;""", 'Original Data'!V31*GOOGLEFINANCE(""Currency:GBPEUR""),
IF($D31=""Iene"",'Original Data'!V31*GOOGLEFINANCE(""Currency:JPYEUR""),
IF($D31=""HKD"",'Original Data'!V31*GOOGLEFINANCE(""Currency:HKDEUR""),
IF($D31=""KRW"",'Original Data'!V31*GOOGLEFINANCE("&amp;"""Currency:KRWEUR""),""""))))))))"),0.67)</f>
        <v>0.67</v>
      </c>
      <c r="W31" s="7" t="s">
        <v>59</v>
      </c>
      <c r="X31" s="7" t="s">
        <v>52</v>
      </c>
      <c r="Y31" s="7" t="s">
        <v>41</v>
      </c>
      <c r="Z31" s="7" t="s">
        <v>41</v>
      </c>
      <c r="AA31" s="7" t="s">
        <v>59</v>
      </c>
      <c r="AB31" s="7" t="s">
        <v>52</v>
      </c>
      <c r="AC31" s="7">
        <v>23.0</v>
      </c>
      <c r="AD31" s="7">
        <v>10.6</v>
      </c>
      <c r="AE31" s="7">
        <v>8.7</v>
      </c>
      <c r="AF31" s="7">
        <v>3.8</v>
      </c>
      <c r="AG31" s="7">
        <v>1.0</v>
      </c>
    </row>
    <row r="32">
      <c r="A32" s="16" t="s">
        <v>134</v>
      </c>
      <c r="B32" s="16" t="s">
        <v>135</v>
      </c>
      <c r="C32" s="16" t="s">
        <v>136</v>
      </c>
      <c r="D32" s="7" t="s">
        <v>40</v>
      </c>
      <c r="E32" s="8">
        <f>IFERROR(__xludf.DUMMYFUNCTION("IF($D32=""Euro"",'Original Data'!E32,
IF($D32=""Dolar"",'Original Data'!E32*GOOGLEFINANCE(""Currency:USDEUR""),
IF($D32=""Franco Suíço"",'Original Data'!E32*GOOGLEFINANCE(""Currency:CHFEUR""),
IF($D32=""Libra Esterlina"", 'Original Data'!E32*GOOGLEFINANCE"&amp;"(""Currency:GBPEUR""),
IF($D32=""Iene"",'Original Data'!E32*GOOGLEFINANCE(""Currency:JPYEUR""),
IF($D32=""HKD"",'Original Data'!E32*GOOGLEFINANCE(""Currency:HKDEUR""),
IF($D32=""KRW"",'Original Data'!E32*GOOGLEFINANCE(""Currency:KRWEUR""),"""")))))))"),5.798889999999999)</f>
        <v>5.79889</v>
      </c>
      <c r="F32" s="8">
        <f>IFERROR(__xludf.DUMMYFUNCTION("IF($D32=""Euro"",'Original Data'!F32,
IF($D32=""Dolar"",'Original Data'!F32*GOOGLEFINANCE(""Currency:USDEUR""),
IF($D32=""Franco Suíço"",'Original Data'!F32*GOOGLEFINANCE(""Currency:CHFEUR""),
IF($D32=""Libra Esterlina"", 'Original Data'!F32*GOOGLEFINANCE"&amp;"(""Currency:GBPEUR""),
IF($D32=""Iene"",'Original Data'!F32*GOOGLEFINANCE(""Currency:JPYEUR""),
IF($D32=""HKD"",'Original Data'!F32*GOOGLEFINANCE(""Currency:HKDEUR""),
IF($D32=""KRW"",'Original Data'!F32*GOOGLEFINANCE(""Currency:KRWEUR""),"""")))))))"),82.95812999999998)</f>
        <v>82.95813</v>
      </c>
      <c r="G32" s="8">
        <f>IFERROR(__xludf.DUMMYFUNCTION("IF($D32=""Euro"",'Original Data'!G32,
IF($D32=""Dolar"",'Original Data'!G32*GOOGLEFINANCE(""Currency:USDEUR""),
IF($D32=""Franco Suíço"",'Original Data'!G32*GOOGLEFINANCE(""Currency:CHFEUR""),
IF($D32=""Libra Esterlina"", 'Original Data'!G32*GOOGLEFINANCE"&amp;"(""Currency:GBPEUR""),
IF($D32=""Iene"",'Original Data'!G32*GOOGLEFINANCE(""Currency:JPYEUR""),
IF($D32=""HKD"",'Original Data'!G32*GOOGLEFINANCE(""Currency:HKDEUR""),
IF($D32=""KRW"",'Original Data'!G32*GOOGLEFINANCE(""Currency:KRWEUR""),"""")))))))"),27.965169999999997)</f>
        <v>27.96517</v>
      </c>
      <c r="H32" s="17">
        <v>1.64</v>
      </c>
      <c r="I32" s="7">
        <v>16.93</v>
      </c>
      <c r="J32" s="7" t="s">
        <v>51</v>
      </c>
      <c r="K32" s="9">
        <v>0.1315</v>
      </c>
      <c r="L32" s="9">
        <v>0.0767</v>
      </c>
      <c r="M32" s="9">
        <v>0.2057</v>
      </c>
      <c r="N32" s="8">
        <f>IFERROR(__xludf.DUMMYFUNCTION("IF('Original Data'!N32=""-"",""-"",
IF($D32=""Euro"",'Original Data'!N32,
IF($D32=""Dolar"",'Original Data'!N32*GOOGLEFINANCE(""Currency:USDEUR""),
IF($D32=""Franco Suíço"",'Original Data'!N32*GOOGLEFINANCE(""Currency:CHFEUR""),
IF($D32=""Libra Esterlina"&amp;""", 'Original Data'!N32*GOOGLEFINANCE(""Currency:GBPEUR""),
IF($D32=""Iene"",'Original Data'!N32*GOOGLEFINANCE(""Currency:JPYEUR""),
IF($D32=""HKD"",'Original Data'!N32*GOOGLEFINANCE(""Currency:HKDEUR""),
IF($D32=""KRW"",'Original Data'!N32*GOOGLEFINANCE("&amp;"""Currency:KRWEUR""),""""))))))))"),5.03612)</f>
        <v>5.03612</v>
      </c>
      <c r="O32" s="8">
        <f>IFERROR(__xludf.DUMMYFUNCTION("IF('Original Data'!O32=""-"",""-"",
IF($D32=""Euro"",'Original Data'!O32,
IF($D32=""Dolar"",'Original Data'!O32*GOOGLEFINANCE(""Currency:USDEUR""),
IF($D32=""Franco Suíço"",'Original Data'!O32*GOOGLEFINANCE(""Currency:CHFEUR""),
IF($D32=""Libra Esterlina"&amp;""", 'Original Data'!O32*GOOGLEFINANCE(""Currency:GBPEUR""),
IF($D32=""Iene"",'Original Data'!O32*GOOGLEFINANCE(""Currency:JPYEUR""),
IF($D32=""HKD"",'Original Data'!O32*GOOGLEFINANCE(""Currency:HKDEUR""),
IF($D32=""KRW"",'Original Data'!O32*GOOGLEFINANCE("&amp;"""Currency:KRWEUR""),""""))))))))"),19.611459999999997)</f>
        <v>19.61146</v>
      </c>
      <c r="P32" s="8">
        <f>IFERROR(__xludf.DUMMYFUNCTION("IF('Original Data'!P32=""-"",""-"",
IF($D32=""Euro"",'Original Data'!P32,
IF($D32=""Dolar"",'Original Data'!P32*GOOGLEFINANCE(""Currency:USDEUR""),
IF($D32=""Franco Suíço"",'Original Data'!P32*GOOGLEFINANCE(""Currency:CHFEUR""),
IF($D32=""Libra Esterlina"&amp;""", 'Original Data'!P32*GOOGLEFINANCE(""Currency:GBPEUR""),
IF($D32=""Iene"",'Original Data'!P32*GOOGLEFINANCE(""Currency:JPYEUR""),
IF($D32=""HKD"",'Original Data'!P32*GOOGLEFINANCE(""Currency:HKDEUR""),
IF($D32=""KRW"",'Original Data'!P32*GOOGLEFINANCE("&amp;"""Currency:KRWEUR""),""""))))))))"),21.954909999999998)</f>
        <v>21.95491</v>
      </c>
      <c r="Q32" s="8">
        <f>IFERROR(__xludf.DUMMYFUNCTION("IF('Original Data'!Q32=""-"",""-"",
IF($D32=""Euro"",'Original Data'!Q32,
IF($D32=""Dolar"",'Original Data'!Q32*GOOGLEFINANCE(""Currency:USDEUR""),
IF($D32=""Franco Suíço"",'Original Data'!Q32*GOOGLEFINANCE(""Currency:CHFEUR""),
IF($D32=""Libra Esterlina"&amp;""", 'Original Data'!Q32*GOOGLEFINANCE(""Currency:GBPEUR""),
IF($D32=""Iene"",'Original Data'!Q32*GOOGLEFINANCE(""Currency:JPYEUR""),
IF($D32=""HKD"",'Original Data'!Q32*GOOGLEFINANCE(""Currency:HKDEUR""),
IF($D32=""KRW"",'Original Data'!Q32*GOOGLEFINANCE("&amp;"""Currency:KRWEUR""),""""))))))))"),21.899769999999997)</f>
        <v>21.89977</v>
      </c>
      <c r="R32" s="8">
        <f>IFERROR(__xludf.DUMMYFUNCTION("IF('Original Data'!R32=""-"",""-"",
IF($D32=""Euro"",'Original Data'!R32,
IF($D32=""Dolar"",'Original Data'!R32*GOOGLEFINANCE(""Currency:USDEUR""),
IF($D32=""Franco Suíço"",'Original Data'!R32*GOOGLEFINANCE(""Currency:CHFEUR""),
IF($D32=""Libra Esterlina"&amp;""", 'Original Data'!R32*GOOGLEFINANCE(""Currency:GBPEUR""),
IF($D32=""Iene"",'Original Data'!R32*GOOGLEFINANCE(""Currency:JPYEUR""),
IF($D32=""HKD"",'Original Data'!R32*GOOGLEFINANCE(""Currency:HKDEUR""),
IF($D32=""KRW"",'Original Data'!R32*GOOGLEFINANCE("&amp;"""Currency:KRWEUR""),""""))))))))"),25.502249999999997)</f>
        <v>25.50225</v>
      </c>
      <c r="S32" s="8" t="str">
        <f>IFERROR(__xludf.DUMMYFUNCTION("IF('Original Data'!S32=""-"",""-"",
IF($D32=""Euro"",'Original Data'!S32,
IF($D32=""Dolar"",'Original Data'!S32*GOOGLEFINANCE(""Currency:USDEUR""),
IF($D32=""Franco Suíço"",'Original Data'!S32*GOOGLEFINANCE(""Currency:CHFEUR""),
IF($D32=""Libra Esterlina"&amp;""", 'Original Data'!S32*GOOGLEFINANCE(""Currency:GBPEUR""),
IF($D32=""Iene"",'Original Data'!S32*GOOGLEFINANCE(""Currency:JPYEUR""),
IF($D32=""HKD"",'Original Data'!S32*GOOGLEFINANCE(""Currency:HKDEUR""),
IF($D32=""KRW"",'Original Data'!S32*GOOGLEFINANCE("&amp;"""Currency:KRWEUR""),""""))))))))"),"-")</f>
        <v>-</v>
      </c>
      <c r="T32" s="8" t="str">
        <f>IFERROR(__xludf.DUMMYFUNCTION("IF('Original Data'!T32=""-"",""-"",
IF($D32=""Euro"",'Original Data'!T32,
IF($D32=""Dolar"",'Original Data'!T32*GOOGLEFINANCE(""Currency:USDEUR""),
IF($D32=""Franco Suíço"",'Original Data'!T32*GOOGLEFINANCE(""Currency:CHFEUR""),
IF($D32=""Libra Esterlina"&amp;""", 'Original Data'!T32*GOOGLEFINANCE(""Currency:GBPEUR""),
IF($D32=""Iene"",'Original Data'!T32*GOOGLEFINANCE(""Currency:JPYEUR""),
IF($D32=""HKD"",'Original Data'!T32*GOOGLEFINANCE(""Currency:HKDEUR""),
IF($D32=""KRW"",'Original Data'!T32*GOOGLEFINANCE("&amp;"""Currency:KRWEUR""),""""))))))))"),"-")</f>
        <v>-</v>
      </c>
      <c r="U32" s="8" t="str">
        <f>IFERROR(__xludf.DUMMYFUNCTION("IF('Original Data'!U32=""-"",""-"",
IF($D32=""Euro"",'Original Data'!U32,
IF($D32=""Dolar"",'Original Data'!U32*GOOGLEFINANCE(""Currency:USDEUR""),
IF($D32=""Franco Suíço"",'Original Data'!U32*GOOGLEFINANCE(""Currency:CHFEUR""),
IF($D32=""Libra Esterlina"&amp;""", 'Original Data'!U32*GOOGLEFINANCE(""Currency:GBPEUR""),
IF($D32=""Iene"",'Original Data'!U32*GOOGLEFINANCE(""Currency:JPYEUR""),
IF($D32=""HKD"",'Original Data'!U32*GOOGLEFINANCE(""Currency:HKDEUR""),
IF($D32=""KRW"",'Original Data'!U32*GOOGLEFINANCE("&amp;"""Currency:KRWEUR""),""""))))))))"),"-")</f>
        <v>-</v>
      </c>
      <c r="V32" s="8" t="str">
        <f>IFERROR(__xludf.DUMMYFUNCTION("IF('Original Data'!V32=""-"",""-"",
IF($D32=""Euro"",'Original Data'!V32,
IF($D32=""Dolar"",'Original Data'!V32*GOOGLEFINANCE(""Currency:USDEUR""),
IF($D32=""Franco Suíço"",'Original Data'!V32*GOOGLEFINANCE(""Currency:CHFEUR""),
IF($D32=""Libra Esterlina"&amp;""", 'Original Data'!V32*GOOGLEFINANCE(""Currency:GBPEUR""),
IF($D32=""Iene"",'Original Data'!V32*GOOGLEFINANCE(""Currency:JPYEUR""),
IF($D32=""HKD"",'Original Data'!V32*GOOGLEFINANCE(""Currency:HKDEUR""),
IF($D32=""KRW"",'Original Data'!V32*GOOGLEFINANCE("&amp;"""Currency:KRWEUR""),""""))))))))"),"-")</f>
        <v>-</v>
      </c>
      <c r="W32" s="7" t="s">
        <v>42</v>
      </c>
      <c r="X32" s="7" t="s">
        <v>43</v>
      </c>
      <c r="Y32" s="7" t="s">
        <v>41</v>
      </c>
      <c r="Z32" s="7" t="s">
        <v>41</v>
      </c>
      <c r="AA32" s="7" t="s">
        <v>41</v>
      </c>
      <c r="AB32" s="7" t="s">
        <v>41</v>
      </c>
      <c r="AC32" s="7">
        <v>7.0</v>
      </c>
      <c r="AD32" s="7">
        <v>1.3</v>
      </c>
      <c r="AE32" s="7">
        <v>2.5</v>
      </c>
      <c r="AF32" s="7">
        <v>3.2</v>
      </c>
      <c r="AG32" s="7">
        <v>1.0</v>
      </c>
    </row>
    <row r="33">
      <c r="A33" s="16" t="s">
        <v>137</v>
      </c>
      <c r="B33" s="16" t="s">
        <v>138</v>
      </c>
      <c r="C33" s="16" t="s">
        <v>139</v>
      </c>
      <c r="D33" s="7" t="s">
        <v>40</v>
      </c>
      <c r="E33" s="8">
        <f>IFERROR(__xludf.DUMMYFUNCTION("IF($D33=""Euro"",'Original Data'!E33,
IF($D33=""Dolar"",'Original Data'!E33*GOOGLEFINANCE(""Currency:USDEUR""),
IF($D33=""Franco Suíço"",'Original Data'!E33*GOOGLEFINANCE(""Currency:CHFEUR""),
IF($D33=""Libra Esterlina"", 'Original Data'!E33*GOOGLEFINANCE"&amp;"(""Currency:GBPEUR""),
IF($D33=""Iene"",'Original Data'!E33*GOOGLEFINANCE(""Currency:JPYEUR""),
IF($D33=""HKD"",'Original Data'!E33*GOOGLEFINANCE(""Currency:HKDEUR""),
IF($D33=""KRW"",'Original Data'!E33*GOOGLEFINANCE(""Currency:KRWEUR""),"""")))))))"),0.4319299999999999)</f>
        <v>0.43193</v>
      </c>
      <c r="F33" s="8">
        <f>IFERROR(__xludf.DUMMYFUNCTION("IF($D33=""Euro"",'Original Data'!F33,
IF($D33=""Dolar"",'Original Data'!F33*GOOGLEFINANCE(""Currency:USDEUR""),
IF($D33=""Franco Suíço"",'Original Data'!F33*GOOGLEFINANCE(""Currency:CHFEUR""),
IF($D33=""Libra Esterlina"", 'Original Data'!F33*GOOGLEFINANCE"&amp;"(""Currency:GBPEUR""),
IF($D33=""Iene"",'Original Data'!F33*GOOGLEFINANCE(""Currency:JPYEUR""),
IF($D33=""HKD"",'Original Data'!F33*GOOGLEFINANCE(""Currency:HKDEUR""),
IF($D33=""KRW"",'Original Data'!F33*GOOGLEFINANCE(""Currency:KRWEUR""),"""")))))))"),100.14343)</f>
        <v>100.14343</v>
      </c>
      <c r="G33" s="8">
        <f>IFERROR(__xludf.DUMMYFUNCTION("IF($D33=""Euro"",'Original Data'!G33,
IF($D33=""Dolar"",'Original Data'!G33*GOOGLEFINANCE(""Currency:USDEUR""),
IF($D33=""Franco Suíço"",'Original Data'!G33*GOOGLEFINANCE(""Currency:CHFEUR""),
IF($D33=""Libra Esterlina"", 'Original Data'!G33*GOOGLEFINANCE"&amp;"(""Currency:GBPEUR""),
IF($D33=""Iene"",'Original Data'!G33*GOOGLEFINANCE(""Currency:JPYEUR""),
IF($D33=""HKD"",'Original Data'!G33*GOOGLEFINANCE(""Currency:HKDEUR""),
IF($D33=""KRW"",'Original Data'!G33*GOOGLEFINANCE(""Currency:KRWEUR""),"""")))))))"),132.75874)</f>
        <v>132.75874</v>
      </c>
      <c r="H33" s="17">
        <v>6.76</v>
      </c>
      <c r="I33" s="7">
        <v>29.67</v>
      </c>
      <c r="J33" s="9">
        <v>0.0232</v>
      </c>
      <c r="K33" s="9">
        <v>0.0536</v>
      </c>
      <c r="L33" s="9">
        <v>0.0477</v>
      </c>
      <c r="M33" s="9">
        <v>0.0879</v>
      </c>
      <c r="N33" s="8">
        <f>IFERROR(__xludf.DUMMYFUNCTION("IF('Original Data'!N33=""-"",""-"",
IF($D33=""Euro"",'Original Data'!N33,
IF($D33=""Dolar"",'Original Data'!N33*GOOGLEFINANCE(""Currency:USDEUR""),
IF($D33=""Franco Suíço"",'Original Data'!N33*GOOGLEFINANCE(""Currency:CHFEUR""),
IF($D33=""Libra Esterlina"&amp;""", 'Original Data'!N33*GOOGLEFINANCE(""Currency:GBPEUR""),
IF($D33=""Iene"",'Original Data'!N33*GOOGLEFINANCE(""Currency:JPYEUR""),
IF($D33=""HKD"",'Original Data'!N33*GOOGLEFINANCE(""Currency:HKDEUR""),
IF($D33=""KRW"",'Original Data'!N33*GOOGLEFINANCE("&amp;"""Currency:KRWEUR""),""""))))))))"),2.3893999999999997)</f>
        <v>2.3894</v>
      </c>
      <c r="O33" s="8">
        <f>IFERROR(__xludf.DUMMYFUNCTION("IF('Original Data'!O33=""-"",""-"",
IF($D33=""Euro"",'Original Data'!O33,
IF($D33=""Dolar"",'Original Data'!O33*GOOGLEFINANCE(""Currency:USDEUR""),
IF($D33=""Franco Suíço"",'Original Data'!O33*GOOGLEFINANCE(""Currency:CHFEUR""),
IF($D33=""Libra Esterlina"&amp;""", 'Original Data'!O33*GOOGLEFINANCE(""Currency:GBPEUR""),
IF($D33=""Iene"",'Original Data'!O33*GOOGLEFINANCE(""Currency:JPYEUR""),
IF($D33=""HKD"",'Original Data'!O33*GOOGLEFINANCE(""Currency:HKDEUR""),
IF($D33=""KRW"",'Original Data'!O33*GOOGLEFINANCE("&amp;"""Currency:KRWEUR""),""""))))))))"),27.524049999999995)</f>
        <v>27.52405</v>
      </c>
      <c r="P33" s="8">
        <f>IFERROR(__xludf.DUMMYFUNCTION("IF('Original Data'!P33=""-"",""-"",
IF($D33=""Euro"",'Original Data'!P33,
IF($D33=""Dolar"",'Original Data'!P33*GOOGLEFINANCE(""Currency:USDEUR""),
IF($D33=""Franco Suíço"",'Original Data'!P33*GOOGLEFINANCE(""Currency:CHFEUR""),
IF($D33=""Libra Esterlina"&amp;""", 'Original Data'!P33*GOOGLEFINANCE(""Currency:GBPEUR""),
IF($D33=""Iene"",'Original Data'!P33*GOOGLEFINANCE(""Currency:JPYEUR""),
IF($D33=""HKD"",'Original Data'!P33*GOOGLEFINANCE(""Currency:HKDEUR""),
IF($D33=""KRW"",'Original Data'!P33*GOOGLEFINANCE("&amp;"""Currency:KRWEUR""),""""))))))))"),28.084639999999997)</f>
        <v>28.08464</v>
      </c>
      <c r="Q33" s="8">
        <f>IFERROR(__xludf.DUMMYFUNCTION("IF('Original Data'!Q33=""-"",""-"",
IF($D33=""Euro"",'Original Data'!Q33,
IF($D33=""Dolar"",'Original Data'!Q33*GOOGLEFINANCE(""Currency:USDEUR""),
IF($D33=""Franco Suíço"",'Original Data'!Q33*GOOGLEFINANCE(""Currency:CHFEUR""),
IF($D33=""Libra Esterlina"&amp;""", 'Original Data'!Q33*GOOGLEFINANCE(""Currency:GBPEUR""),
IF($D33=""Iene"",'Original Data'!Q33*GOOGLEFINANCE(""Currency:JPYEUR""),
IF($D33=""HKD"",'Original Data'!Q33*GOOGLEFINANCE(""Currency:HKDEUR""),
IF($D33=""KRW"",'Original Data'!Q33*GOOGLEFINANCE("&amp;"""Currency:KRWEUR""),""""))))))))"),26.568289999999998)</f>
        <v>26.56829</v>
      </c>
      <c r="R33" s="8">
        <f>IFERROR(__xludf.DUMMYFUNCTION("IF('Original Data'!R33=""-"",""-"",
IF($D33=""Euro"",'Original Data'!R33,
IF($D33=""Dolar"",'Original Data'!R33*GOOGLEFINANCE(""Currency:USDEUR""),
IF($D33=""Franco Suíço"",'Original Data'!R33*GOOGLEFINANCE(""Currency:CHFEUR""),
IF($D33=""Libra Esterlina"&amp;""", 'Original Data'!R33*GOOGLEFINANCE(""Currency:GBPEUR""),
IF($D33=""Iene"",'Original Data'!R33*GOOGLEFINANCE(""Currency:JPYEUR""),
IF($D33=""HKD"",'Original Data'!R33*GOOGLEFINANCE(""Currency:HKDEUR""),
IF($D33=""KRW"",'Original Data'!R33*GOOGLEFINANCE("&amp;"""Currency:KRWEUR""),""""))))))))"),27.68028)</f>
        <v>27.68028</v>
      </c>
      <c r="S33" s="8">
        <f>IFERROR(__xludf.DUMMYFUNCTION("IF('Original Data'!S33=""-"",""-"",
IF($D33=""Euro"",'Original Data'!S33,
IF($D33=""Dolar"",'Original Data'!S33*GOOGLEFINANCE(""Currency:USDEUR""),
IF($D33=""Franco Suíço"",'Original Data'!S33*GOOGLEFINANCE(""Currency:CHFEUR""),
IF($D33=""Libra Esterlina"&amp;""", 'Original Data'!S33*GOOGLEFINANCE(""Currency:GBPEUR""),
IF($D33=""Iene"",'Original Data'!S33*GOOGLEFINANCE(""Currency:JPYEUR""),
IF($D33=""HKD"",'Original Data'!S33*GOOGLEFINANCE(""Currency:HKDEUR""),
IF($D33=""KRW"",'Original Data'!S33*GOOGLEFINANCE("&amp;"""Currency:KRWEUR""),""""))))))))"),8.53751)</f>
        <v>8.53751</v>
      </c>
      <c r="T33" s="8">
        <f>IFERROR(__xludf.DUMMYFUNCTION("IF('Original Data'!T33=""-"",""-"",
IF($D33=""Euro"",'Original Data'!T33,
IF($D33=""Dolar"",'Original Data'!T33*GOOGLEFINANCE(""Currency:USDEUR""),
IF($D33=""Franco Suíço"",'Original Data'!T33*GOOGLEFINANCE(""Currency:CHFEUR""),
IF($D33=""Libra Esterlina"&amp;""", 'Original Data'!T33*GOOGLEFINANCE(""Currency:GBPEUR""),
IF($D33=""Iene"",'Original Data'!T33*GOOGLEFINANCE(""Currency:JPYEUR""),
IF($D33=""HKD"",'Original Data'!T33*GOOGLEFINANCE(""Currency:HKDEUR""),
IF($D33=""KRW"",'Original Data'!T33*GOOGLEFINANCE("&amp;"""Currency:KRWEUR""),""""))))))))"),8.969439999999999)</f>
        <v>8.96944</v>
      </c>
      <c r="U33" s="8">
        <f>IFERROR(__xludf.DUMMYFUNCTION("IF('Original Data'!U33=""-"",""-"",
IF($D33=""Euro"",'Original Data'!U33,
IF($D33=""Dolar"",'Original Data'!U33*GOOGLEFINANCE(""Currency:USDEUR""),
IF($D33=""Franco Suíço"",'Original Data'!U33*GOOGLEFINANCE(""Currency:CHFEUR""),
IF($D33=""Libra Esterlina"&amp;""", 'Original Data'!U33*GOOGLEFINANCE(""Currency:GBPEUR""),
IF($D33=""Iene"",'Original Data'!U33*GOOGLEFINANCE(""Currency:JPYEUR""),
IF($D33=""HKD"",'Original Data'!U33*GOOGLEFINANCE(""Currency:HKDEUR""),
IF($D33=""KRW"",'Original Data'!U33*GOOGLEFINANCE("&amp;"""Currency:KRWEUR""),""""))))))))"),7.6093199999999985)</f>
        <v>7.60932</v>
      </c>
      <c r="V33" s="8">
        <f>IFERROR(__xludf.DUMMYFUNCTION("IF('Original Data'!V33=""-"",""-"",
IF($D33=""Euro"",'Original Data'!V33,
IF($D33=""Dolar"",'Original Data'!V33*GOOGLEFINANCE(""Currency:USDEUR""),
IF($D33=""Franco Suíço"",'Original Data'!V33*GOOGLEFINANCE(""Currency:CHFEUR""),
IF($D33=""Libra Esterlina"&amp;""", 'Original Data'!V33*GOOGLEFINANCE(""Currency:GBPEUR""),
IF($D33=""Iene"",'Original Data'!V33*GOOGLEFINANCE(""Currency:JPYEUR""),
IF($D33=""HKD"",'Original Data'!V33*GOOGLEFINANCE(""Currency:HKDEUR""),
IF($D33=""KRW"",'Original Data'!V33*GOOGLEFINANCE("&amp;"""Currency:KRWEUR""),""""))))))))"),7.572559999999999)</f>
        <v>7.57256</v>
      </c>
      <c r="W33" s="7" t="s">
        <v>43</v>
      </c>
      <c r="X33" s="7" t="s">
        <v>43</v>
      </c>
      <c r="Y33" s="7" t="s">
        <v>41</v>
      </c>
      <c r="Z33" s="7" t="s">
        <v>41</v>
      </c>
      <c r="AA33" s="7" t="s">
        <v>42</v>
      </c>
      <c r="AB33" s="7" t="s">
        <v>42</v>
      </c>
      <c r="AC33" s="7">
        <v>23.0</v>
      </c>
      <c r="AD33" s="7">
        <v>2.3</v>
      </c>
      <c r="AE33" s="7">
        <v>13.4</v>
      </c>
      <c r="AF33" s="7">
        <v>7.7</v>
      </c>
      <c r="AG33" s="7">
        <v>3.0</v>
      </c>
    </row>
    <row r="34">
      <c r="A34" s="16" t="s">
        <v>140</v>
      </c>
      <c r="B34" s="16" t="s">
        <v>141</v>
      </c>
      <c r="C34" s="16" t="s">
        <v>142</v>
      </c>
      <c r="D34" s="7" t="s">
        <v>33</v>
      </c>
      <c r="E34" s="8">
        <f>IFERROR(__xludf.DUMMYFUNCTION("IF($D34=""Euro"",'Original Data'!E34,
IF($D34=""Dolar"",'Original Data'!E34*GOOGLEFINANCE(""Currency:USDEUR""),
IF($D34=""Franco Suíço"",'Original Data'!E34*GOOGLEFINANCE(""Currency:CHFEUR""),
IF($D34=""Libra Esterlina"", 'Original Data'!E34*GOOGLEFINANCE"&amp;"(""Currency:GBPEUR""),
IF($D34=""Iene"",'Original Data'!E34*GOOGLEFINANCE(""Currency:JPYEUR""),
IF($D34=""HKD"",'Original Data'!E34*GOOGLEFINANCE(""Currency:HKDEUR""),
IF($D34=""KRW"",'Original Data'!E34*GOOGLEFINANCE(""Currency:KRWEUR""),"""")))))))"),23.21)</f>
        <v>23.21</v>
      </c>
      <c r="F34" s="8">
        <f>IFERROR(__xludf.DUMMYFUNCTION("IF($D34=""Euro"",'Original Data'!F34,
IF($D34=""Dolar"",'Original Data'!F34*GOOGLEFINANCE(""Currency:USDEUR""),
IF($D34=""Franco Suíço"",'Original Data'!F34*GOOGLEFINANCE(""Currency:CHFEUR""),
IF($D34=""Libra Esterlina"", 'Original Data'!F34*GOOGLEFINANCE"&amp;"(""Currency:GBPEUR""),
IF($D34=""Iene"",'Original Data'!F34*GOOGLEFINANCE(""Currency:JPYEUR""),
IF($D34=""HKD"",'Original Data'!F34*GOOGLEFINANCE(""Currency:HKDEUR""),
IF($D34=""KRW"",'Original Data'!F34*GOOGLEFINANCE(""Currency:KRWEUR""),"""")))))))"),54.44)</f>
        <v>54.44</v>
      </c>
      <c r="G34" s="8">
        <f>IFERROR(__xludf.DUMMYFUNCTION("IF($D34=""Euro"",'Original Data'!G34,
IF($D34=""Dolar"",'Original Data'!G34*GOOGLEFINANCE(""Currency:USDEUR""),
IF($D34=""Franco Suíço"",'Original Data'!G34*GOOGLEFINANCE(""Currency:CHFEUR""),
IF($D34=""Libra Esterlina"", 'Original Data'!G34*GOOGLEFINANCE"&amp;"(""Currency:GBPEUR""),
IF($D34=""Iene"",'Original Data'!G34*GOOGLEFINANCE(""Currency:JPYEUR""),
IF($D34=""HKD"",'Original Data'!G34*GOOGLEFINANCE(""Currency:HKDEUR""),
IF($D34=""KRW"",'Original Data'!G34*GOOGLEFINANCE(""Currency:KRWEUR""),"""")))))))"),108.44)</f>
        <v>108.44</v>
      </c>
      <c r="H34" s="17">
        <v>2.1</v>
      </c>
      <c r="I34" s="7">
        <v>26.0</v>
      </c>
      <c r="J34" s="9">
        <v>0.0092</v>
      </c>
      <c r="K34" s="9">
        <v>0.0317</v>
      </c>
      <c r="L34" s="9">
        <v>0.0258</v>
      </c>
      <c r="M34" s="9">
        <v>0.0697</v>
      </c>
      <c r="N34" s="8">
        <f>IFERROR(__xludf.DUMMYFUNCTION("'Original Data'!N34*GOOGLEFINANCE(""Currency:USDEUR"")"),1.9390899999999998)</f>
        <v>1.93909</v>
      </c>
      <c r="O34" s="8">
        <f>IFERROR(__xludf.DUMMYFUNCTION("'Original Data'!O34*GOOGLEFINANCE(""Currency:USDEUR"")"),50.194860999999996)</f>
        <v>50.194861</v>
      </c>
      <c r="P34" s="8">
        <f>IFERROR(__xludf.DUMMYFUNCTION("'Original Data'!P34*GOOGLEFINANCE(""Currency:USDEUR"")"),48.090351)</f>
        <v>48.090351</v>
      </c>
      <c r="Q34" s="8">
        <f>IFERROR(__xludf.DUMMYFUNCTION("'Original Data'!Q34*GOOGLEFINANCE(""Currency:USDEUR"")"),43.083639)</f>
        <v>43.083639</v>
      </c>
      <c r="R34" s="8">
        <f>IFERROR(__xludf.DUMMYFUNCTION("'Original Data'!R34*GOOGLEFINANCE(""Currency:USDEUR"")"),49.905376)</f>
        <v>49.905376</v>
      </c>
      <c r="S34" s="8">
        <f>IFERROR(__xludf.DUMMYFUNCTION("'Original Data'!S34*GOOGLEFINANCE(""Currency:USDEUR"")"),20.29152)</f>
        <v>20.29152</v>
      </c>
      <c r="T34" s="8">
        <f>IFERROR(__xludf.DUMMYFUNCTION("'Original Data'!T34*GOOGLEFINANCE(""Currency:USDEUR"")"),19.370682)</f>
        <v>19.370682</v>
      </c>
      <c r="U34" s="8">
        <f>IFERROR(__xludf.DUMMYFUNCTION("'Original Data'!U34*GOOGLEFINANCE(""Currency:USDEUR"")"),15.917999)</f>
        <v>15.917999</v>
      </c>
      <c r="V34" s="8">
        <f>IFERROR(__xludf.DUMMYFUNCTION("'Original Data'!V34*GOOGLEFINANCE(""Currency:USDEUR"")"),17.653070999999997)</f>
        <v>17.653071</v>
      </c>
      <c r="W34" s="7" t="s">
        <v>34</v>
      </c>
      <c r="X34" s="7" t="s">
        <v>35</v>
      </c>
      <c r="Y34" s="7" t="s">
        <v>41</v>
      </c>
      <c r="Z34" s="7" t="s">
        <v>41</v>
      </c>
      <c r="AA34" s="7" t="s">
        <v>34</v>
      </c>
      <c r="AB34" s="7" t="s">
        <v>34</v>
      </c>
      <c r="AC34" s="7">
        <v>21.0</v>
      </c>
      <c r="AD34" s="7">
        <v>5.9</v>
      </c>
      <c r="AE34" s="7">
        <v>7.7</v>
      </c>
      <c r="AF34" s="7">
        <v>7.5</v>
      </c>
      <c r="AG34" s="7">
        <v>3.0</v>
      </c>
    </row>
    <row r="35">
      <c r="A35" s="16" t="s">
        <v>143</v>
      </c>
      <c r="B35" s="16" t="s">
        <v>144</v>
      </c>
      <c r="C35" s="16" t="s">
        <v>145</v>
      </c>
      <c r="D35" s="7" t="s">
        <v>146</v>
      </c>
      <c r="E35" s="8">
        <f>IFERROR(__xludf.DUMMYFUNCTION("IF($D35=""Euro"",'Original Data'!E35,
IF($D35=""Dolar"",'Original Data'!E35*GOOGLEFINANCE(""Currency:USDEUR""),
IF($D35=""Franco Suíço"",'Original Data'!E35*GOOGLEFINANCE(""Currency:CHFEUR""),
IF($D35=""Libra Esterlina"", 'Original Data'!E35*GOOGLEFINANCE"&amp;"(""Currency:GBPEUR""),
IF($D35=""Iene"",'Original Data'!E35*GOOGLEFINANCE(""Currency:JPYEUR""),
IF($D35=""HKD"",'Original Data'!E35*GOOGLEFINANCE(""Currency:HKDEUR""),
IF($D35=""KRW"",'Original Data'!E35*GOOGLEFINANCE(""Currency:KRWEUR""),"""")))))))"),79.30605616499999)</f>
        <v>79.30605617</v>
      </c>
      <c r="F35" s="8">
        <f>IFERROR(__xludf.DUMMYFUNCTION("IF($D35=""Euro"",'Original Data'!F35,
IF($D35=""Dolar"",'Original Data'!F35*GOOGLEFINANCE(""Currency:USDEUR""),
IF($D35=""Franco Suíço"",'Original Data'!F35*GOOGLEFINANCE(""Currency:CHFEUR""),
IF($D35=""Libra Esterlina"", 'Original Data'!F35*GOOGLEFINANCE"&amp;"(""Currency:GBPEUR""),
IF($D35=""Iene"",'Original Data'!F35*GOOGLEFINANCE(""Currency:JPYEUR""),
IF($D35=""HKD"",'Original Data'!F35*GOOGLEFINANCE(""Currency:HKDEUR""),
IF($D35=""KRW"",'Original Data'!F35*GOOGLEFINANCE(""Currency:KRWEUR""),"""")))))))"),158.16740547299997)</f>
        <v>158.1674055</v>
      </c>
      <c r="G35" s="8">
        <f>IFERROR(__xludf.DUMMYFUNCTION("IF($D35=""Euro"",'Original Data'!G35,
IF($D35=""Dolar"",'Original Data'!G35*GOOGLEFINANCE(""Currency:USDEUR""),
IF($D35=""Franco Suíço"",'Original Data'!G35*GOOGLEFINANCE(""Currency:CHFEUR""),
IF($D35=""Libra Esterlina"", 'Original Data'!G35*GOOGLEFINANCE"&amp;"(""Currency:GBPEUR""),
IF($D35=""Iene"",'Original Data'!G35*GOOGLEFINANCE(""Currency:JPYEUR""),
IF($D35=""HKD"",'Original Data'!G35*GOOGLEFINANCE(""Currency:HKDEUR""),
IF($D35=""KRW"",'Original Data'!G35*GOOGLEFINANCE(""Currency:KRWEUR""),"""")))))))"),31.248068485199997)</f>
        <v>31.24806849</v>
      </c>
      <c r="H35" s="17">
        <v>8.12E-4</v>
      </c>
      <c r="I35" s="7">
        <v>26.78</v>
      </c>
      <c r="J35" s="9">
        <v>0.0236</v>
      </c>
      <c r="K35" s="9">
        <v>0.0871</v>
      </c>
      <c r="L35" s="9">
        <v>0.0795</v>
      </c>
      <c r="M35" s="9">
        <v>0.0902</v>
      </c>
      <c r="N35" s="8">
        <f>IFERROR(__xludf.DUMMYFUNCTION("IF('Original Data'!N35=""-"",""-"",
IF($D35=""Euro"",'Original Data'!N35,
IF($D35=""Dolar"",'Original Data'!N35*GOOGLEFINANCE(""Currency:USDEUR""),
IF($D35=""Franco Suíço"",'Original Data'!N35*GOOGLEFINANCE(""Currency:CHFEUR""),
IF($D35=""Libra Esterlina"&amp;""", 'Original Data'!N35*GOOGLEFINANCE(""Currency:GBPEUR""),
IF($D35=""Iene"",'Original Data'!N35*GOOGLEFINANCE(""Currency:JPYEUR""),
IF($D35=""HKD"",'Original Data'!N35*GOOGLEFINANCE(""Currency:HKDEUR""),
IF($D35=""KRW"",'Original Data'!N35*GOOGLEFINANCE("&amp;"""Currency:KRWEUR""),""""))))))))"),3.632513843595)</f>
        <v>3.632513844</v>
      </c>
      <c r="O35" s="8">
        <f>IFERROR(__xludf.DUMMYFUNCTION("IF('Original Data'!O35=""-"",""-"",
IF($D35=""Euro"",'Original Data'!O35,
IF($D35=""Dolar"",'Original Data'!O35*GOOGLEFINANCE(""Currency:USDEUR""),
IF($D35=""Franco Suíço"",'Original Data'!O35*GOOGLEFINANCE(""Currency:CHFEUR""),
IF($D35=""Libra Esterlina"&amp;""", 'Original Data'!O35*GOOGLEFINANCE(""Currency:GBPEUR""),
IF($D35=""Iene"",'Original Data'!O35*GOOGLEFINANCE(""Currency:JPYEUR""),
IF($D35=""HKD"",'Original Data'!O35*GOOGLEFINANCE(""Currency:HKDEUR""),
IF($D35=""KRW"",'Original Data'!O35*GOOGLEFINANCE("&amp;"""Currency:KRWEUR""),""""))))))))"),5.385400038269999)</f>
        <v>5.385400038</v>
      </c>
      <c r="P35" s="8">
        <f>IFERROR(__xludf.DUMMYFUNCTION("IF('Original Data'!P35=""-"",""-"",
IF($D35=""Euro"",'Original Data'!P35,
IF($D35=""Dolar"",'Original Data'!P35*GOOGLEFINANCE(""Currency:USDEUR""),
IF($D35=""Franco Suíço"",'Original Data'!P35*GOOGLEFINANCE(""Currency:CHFEUR""),
IF($D35=""Libra Esterlina"&amp;""", 'Original Data'!P35*GOOGLEFINANCE(""Currency:GBPEUR""),
IF($D35=""Iene"",'Original Data'!P35*GOOGLEFINANCE(""Currency:JPYEUR""),
IF($D35=""HKD"",'Original Data'!P35*GOOGLEFINANCE(""Currency:HKDEUR""),
IF($D35=""KRW"",'Original Data'!P35*GOOGLEFINANCE("&amp;"""Currency:KRWEUR""),""""))))))))"),4.7107056183915)</f>
        <v>4.710705618</v>
      </c>
      <c r="Q35" s="8">
        <f>IFERROR(__xludf.DUMMYFUNCTION("IF('Original Data'!Q35=""-"",""-"",
IF($D35=""Euro"",'Original Data'!Q35,
IF($D35=""Dolar"",'Original Data'!Q35*GOOGLEFINANCE(""Currency:USDEUR""),
IF($D35=""Franco Suíço"",'Original Data'!Q35*GOOGLEFINANCE(""Currency:CHFEUR""),
IF($D35=""Libra Esterlina"&amp;""", 'Original Data'!Q35*GOOGLEFINANCE(""Currency:GBPEUR""),
IF($D35=""Iene"",'Original Data'!Q35*GOOGLEFINANCE(""Currency:JPYEUR""),
IF($D35=""HKD"",'Original Data'!Q35*GOOGLEFINANCE(""Currency:HKDEUR""),
IF($D35=""KRW"",'Original Data'!Q35*GOOGLEFINANCE("&amp;"""Currency:KRWEUR""),""""))))))))"),3.7670376678374997)</f>
        <v>3.767037668</v>
      </c>
      <c r="R35" s="8">
        <f>IFERROR(__xludf.DUMMYFUNCTION("IF('Original Data'!R35=""-"",""-"",
IF($D35=""Euro"",'Original Data'!R35,
IF($D35=""Dolar"",'Original Data'!R35*GOOGLEFINANCE(""Currency:USDEUR""),
IF($D35=""Franco Suíço"",'Original Data'!R35*GOOGLEFINANCE(""Currency:CHFEUR""),
IF($D35=""Libra Esterlina"&amp;""", 'Original Data'!R35*GOOGLEFINANCE(""Currency:GBPEUR""),
IF($D35=""Iene"",'Original Data'!R35*GOOGLEFINANCE(""Currency:JPYEUR""),
IF($D35=""HKD"",'Original Data'!R35*GOOGLEFINANCE(""Currency:HKDEUR""),
IF($D35=""KRW"",'Original Data'!R35*GOOGLEFINANCE("&amp;"""Currency:KRWEUR""),""""))))))))"),4.086040719925499)</f>
        <v>4.08604072</v>
      </c>
      <c r="S35" s="8">
        <f>IFERROR(__xludf.DUMMYFUNCTION("IF('Original Data'!S35=""-"",""-"",
IF($D35=""Euro"",'Original Data'!S35,
IF($D35=""Dolar"",'Original Data'!S35*GOOGLEFINANCE(""Currency:USDEUR""),
IF($D35=""Franco Suíço"",'Original Data'!S35*GOOGLEFINANCE(""Currency:CHFEUR""),
IF($D35=""Libra Esterlina"&amp;""", 'Original Data'!S35*GOOGLEFINANCE(""Currency:GBPEUR""),
IF($D35=""Iene"",'Original Data'!S35*GOOGLEFINANCE(""Currency:JPYEUR""),
IF($D35=""HKD"",'Original Data'!S35*GOOGLEFINANCE(""Currency:HKDEUR""),
IF($D35=""KRW"",'Original Data'!S35*GOOGLEFINANCE("&amp;"""Currency:KRWEUR""),""""))))))))"),1.9551536968005)</f>
        <v>1.955153697</v>
      </c>
      <c r="T35" s="8">
        <f>IFERROR(__xludf.DUMMYFUNCTION("IF('Original Data'!T35=""-"",""-"",
IF($D35=""Euro"",'Original Data'!T35,
IF($D35=""Dolar"",'Original Data'!T35*GOOGLEFINANCE(""Currency:USDEUR""),
IF($D35=""Franco Suíço"",'Original Data'!T35*GOOGLEFINANCE(""Currency:CHFEUR""),
IF($D35=""Libra Esterlina"&amp;""", 'Original Data'!T35*GOOGLEFINANCE(""Currency:GBPEUR""),
IF($D35=""Iene"",'Original Data'!T35*GOOGLEFINANCE(""Currency:JPYEUR""),
IF($D35=""HKD"",'Original Data'!T35*GOOGLEFINANCE(""Currency:HKDEUR""),
IF($D35=""KRW"",'Original Data'!T35*GOOGLEFINANCE("&amp;"""Currency:KRWEUR""),""""))))))))"),1.5046656506594998)</f>
        <v>1.504665651</v>
      </c>
      <c r="U35" s="8">
        <f>IFERROR(__xludf.DUMMYFUNCTION("IF('Original Data'!U35=""-"",""-"",
IF($D35=""Euro"",'Original Data'!U35,
IF($D35=""Dolar"",'Original Data'!U35*GOOGLEFINANCE(""Currency:USDEUR""),
IF($D35=""Franco Suíço"",'Original Data'!U35*GOOGLEFINANCE(""Currency:CHFEUR""),
IF($D35=""Libra Esterlina"&amp;""", 'Original Data'!U35*GOOGLEFINANCE(""Currency:GBPEUR""),
IF($D35=""Iene"",'Original Data'!U35*GOOGLEFINANCE(""Currency:JPYEUR""),
IF($D35=""HKD"",'Original Data'!U35*GOOGLEFINANCE(""Currency:HKDEUR""),
IF($D35=""KRW"",'Original Data'!U35*GOOGLEFINANCE("&amp;"""Currency:KRWEUR""),""""))))))))"),0.9951057103469999)</f>
        <v>0.9951057103</v>
      </c>
      <c r="V35" s="8">
        <f>IFERROR(__xludf.DUMMYFUNCTION("IF('Original Data'!V35=""-"",""-"",
IF($D35=""Euro"",'Original Data'!V35,
IF($D35=""Dolar"",'Original Data'!V35*GOOGLEFINANCE(""Currency:USDEUR""),
IF($D35=""Franco Suíço"",'Original Data'!V35*GOOGLEFINANCE(""Currency:CHFEUR""),
IF($D35=""Libra Esterlina"&amp;""", 'Original Data'!V35*GOOGLEFINANCE(""Currency:GBPEUR""),
IF($D35=""Iene"",'Original Data'!V35*GOOGLEFINANCE(""Currency:JPYEUR""),
IF($D35=""HKD"",'Original Data'!V35*GOOGLEFINANCE(""Currency:HKDEUR""),
IF($D35=""KRW"",'Original Data'!V35*GOOGLEFINANCE("&amp;"""Currency:KRWEUR""),""""))))))))"),1.168244913339)</f>
        <v>1.168244913</v>
      </c>
      <c r="W35" s="7" t="s">
        <v>43</v>
      </c>
      <c r="X35" s="7" t="s">
        <v>43</v>
      </c>
      <c r="Y35" s="7" t="s">
        <v>41</v>
      </c>
      <c r="Z35" s="7" t="s">
        <v>41</v>
      </c>
      <c r="AA35" s="7" t="s">
        <v>43</v>
      </c>
      <c r="AB35" s="7" t="s">
        <v>43</v>
      </c>
      <c r="AC35" s="7">
        <v>26.0</v>
      </c>
      <c r="AD35" s="7">
        <v>7.4</v>
      </c>
      <c r="AE35" s="7">
        <v>10.6</v>
      </c>
      <c r="AF35" s="7">
        <v>7.9</v>
      </c>
      <c r="AG35" s="7">
        <v>1.0</v>
      </c>
    </row>
    <row r="36">
      <c r="A36" s="16" t="s">
        <v>147</v>
      </c>
      <c r="B36" s="16" t="s">
        <v>148</v>
      </c>
      <c r="C36" s="16" t="s">
        <v>149</v>
      </c>
      <c r="D36" s="7" t="s">
        <v>33</v>
      </c>
      <c r="E36" s="8">
        <f>IFERROR(__xludf.DUMMYFUNCTION("IF($D36=""Euro"",'Original Data'!E36,
IF($D36=""Dolar"",'Original Data'!E36*GOOGLEFINANCE(""Currency:USDEUR""),
IF($D36=""Franco Suíço"",'Original Data'!E36*GOOGLEFINANCE(""Currency:CHFEUR""),
IF($D36=""Libra Esterlina"", 'Original Data'!E36*GOOGLEFINANCE"&amp;"(""Currency:GBPEUR""),
IF($D36=""Iene"",'Original Data'!E36*GOOGLEFINANCE(""Currency:JPYEUR""),
IF($D36=""HKD"",'Original Data'!E36*GOOGLEFINANCE(""Currency:HKDEUR""),
IF($D36=""KRW"",'Original Data'!E36*GOOGLEFINANCE(""Currency:KRWEUR""),"""")))))))"),19.1)</f>
        <v>19.1</v>
      </c>
      <c r="F36" s="8">
        <f>IFERROR(__xludf.DUMMYFUNCTION("IF($D36=""Euro"",'Original Data'!F36,
IF($D36=""Dolar"",'Original Data'!F36*GOOGLEFINANCE(""Currency:USDEUR""),
IF($D36=""Franco Suíço"",'Original Data'!F36*GOOGLEFINANCE(""Currency:CHFEUR""),
IF($D36=""Libra Esterlina"", 'Original Data'!F36*GOOGLEFINANCE"&amp;"(""Currency:GBPEUR""),
IF($D36=""Iene"",'Original Data'!F36*GOOGLEFINANCE(""Currency:JPYEUR""),
IF($D36=""HKD"",'Original Data'!F36*GOOGLEFINANCE(""Currency:HKDEUR""),
IF($D36=""KRW"",'Original Data'!F36*GOOGLEFINANCE(""Currency:KRWEUR""),"""")))))))"),9.9)</f>
        <v>9.9</v>
      </c>
      <c r="G36" s="8">
        <f>IFERROR(__xludf.DUMMYFUNCTION("IF($D36=""Euro"",'Original Data'!G36,
IF($D36=""Dolar"",'Original Data'!G36*GOOGLEFINANCE(""Currency:USDEUR""),
IF($D36=""Franco Suíço"",'Original Data'!G36*GOOGLEFINANCE(""Currency:CHFEUR""),
IF($D36=""Libra Esterlina"", 'Original Data'!G36*GOOGLEFINANCE"&amp;"(""Currency:GBPEUR""),
IF($D36=""Iene"",'Original Data'!G36*GOOGLEFINANCE(""Currency:JPYEUR""),
IF($D36=""HKD"",'Original Data'!G36*GOOGLEFINANCE(""Currency:HKDEUR""),
IF($D36=""KRW"",'Original Data'!G36*GOOGLEFINANCE(""Currency:KRWEUR""),"""")))))))"),1.99)</f>
        <v>1.99</v>
      </c>
      <c r="H36" s="17">
        <v>0.6596</v>
      </c>
      <c r="I36" s="7" t="s">
        <v>41</v>
      </c>
      <c r="J36" s="9">
        <v>0.0107</v>
      </c>
      <c r="K36" s="9">
        <v>0.0081</v>
      </c>
      <c r="L36" s="9">
        <v>0.0076</v>
      </c>
      <c r="M36" s="9">
        <v>0.0129</v>
      </c>
      <c r="N36" s="8">
        <f>IFERROR(__xludf.DUMMYFUNCTION("'Original Data'!N36*GOOGLEFINANCE(""Currency:USDEUR"")"),-1.40607)</f>
        <v>-1.40607</v>
      </c>
      <c r="O36" s="8">
        <f>IFERROR(__xludf.DUMMYFUNCTION("'Original Data'!O36*GOOGLEFINANCE(""Currency:USDEUR"")"),0.5513999999999999)</f>
        <v>0.5514</v>
      </c>
      <c r="P36" s="8">
        <f>IFERROR(__xludf.DUMMYFUNCTION("'Original Data'!P36*GOOGLEFINANCE(""Currency:USDEUR"")"),0.8565079999999999)</f>
        <v>0.856508</v>
      </c>
      <c r="Q36" s="8">
        <f>IFERROR(__xludf.DUMMYFUNCTION("'Original Data'!Q36*GOOGLEFINANCE(""Currency:USDEUR"")"),1.131289)</f>
        <v>1.131289</v>
      </c>
      <c r="R36" s="8">
        <f>IFERROR(__xludf.DUMMYFUNCTION("'Original Data'!R36*GOOGLEFINANCE(""Currency:USDEUR"")"),0.38597999999999993)</f>
        <v>0.38598</v>
      </c>
      <c r="S36" s="8">
        <f>IFERROR(__xludf.DUMMYFUNCTION("'Original Data'!S36*GOOGLEFINANCE(""Currency:USDEUR"")"),0.16541999999999998)</f>
        <v>0.16542</v>
      </c>
      <c r="T36" s="8">
        <f>IFERROR(__xludf.DUMMYFUNCTION("'Original Data'!T36*GOOGLEFINANCE(""Currency:USDEUR"")"),0.47328499999999996)</f>
        <v>0.473285</v>
      </c>
      <c r="U36" s="8">
        <f>IFERROR(__xludf.DUMMYFUNCTION("'Original Data'!U36*GOOGLEFINANCE(""Currency:USDEUR"")"),0.763689)</f>
        <v>0.763689</v>
      </c>
      <c r="V36" s="8">
        <f>IFERROR(__xludf.DUMMYFUNCTION("'Original Data'!V36*GOOGLEFINANCE(""Currency:USDEUR"")"),0.044479599999999994)</f>
        <v>0.0444796</v>
      </c>
      <c r="W36" s="7" t="s">
        <v>43</v>
      </c>
      <c r="X36" s="7" t="s">
        <v>43</v>
      </c>
      <c r="Y36" s="7" t="s">
        <v>41</v>
      </c>
      <c r="Z36" s="7" t="s">
        <v>41</v>
      </c>
      <c r="AA36" s="7" t="s">
        <v>41</v>
      </c>
      <c r="AB36" s="7" t="s">
        <v>41</v>
      </c>
      <c r="AC36" s="7" t="s">
        <v>41</v>
      </c>
      <c r="AD36" s="7" t="s">
        <v>41</v>
      </c>
      <c r="AE36" s="7" t="s">
        <v>41</v>
      </c>
      <c r="AF36" s="7" t="s">
        <v>41</v>
      </c>
      <c r="AG36" s="7" t="s">
        <v>41</v>
      </c>
    </row>
    <row r="37">
      <c r="A37" s="16" t="s">
        <v>150</v>
      </c>
      <c r="B37" s="16" t="s">
        <v>151</v>
      </c>
      <c r="C37" s="16" t="s">
        <v>152</v>
      </c>
      <c r="D37" s="7" t="s">
        <v>33</v>
      </c>
      <c r="E37" s="8">
        <f>IFERROR(__xludf.DUMMYFUNCTION("IF($D37=""Euro"",'Original Data'!E37,
IF($D37=""Dolar"",'Original Data'!E37*GOOGLEFINANCE(""Currency:USDEUR""),
IF($D37=""Franco Suíço"",'Original Data'!E37*GOOGLEFINANCE(""Currency:CHFEUR""),
IF($D37=""Libra Esterlina"", 'Original Data'!E37*GOOGLEFINANCE"&amp;"(""Currency:GBPEUR""),
IF($D37=""Iene"",'Original Data'!E37*GOOGLEFINANCE(""Currency:JPYEUR""),
IF($D37=""HKD"",'Original Data'!E37*GOOGLEFINANCE(""Currency:HKDEUR""),
IF($D37=""KRW"",'Original Data'!E37*GOOGLEFINANCE(""Currency:KRWEUR""),"""")))))))"),167.5)</f>
        <v>167.5</v>
      </c>
      <c r="F37" s="8">
        <f>IFERROR(__xludf.DUMMYFUNCTION("IF($D37=""Euro"",'Original Data'!F37,
IF($D37=""Dolar"",'Original Data'!F37*GOOGLEFINANCE(""Currency:USDEUR""),
IF($D37=""Franco Suíço"",'Original Data'!F37*GOOGLEFINANCE(""Currency:CHFEUR""),
IF($D37=""Libra Esterlina"", 'Original Data'!F37*GOOGLEFINANCE"&amp;"(""Currency:GBPEUR""),
IF($D37=""Iene"",'Original Data'!F37*GOOGLEFINANCE(""Currency:JPYEUR""),
IF($D37=""HKD"",'Original Data'!F37*GOOGLEFINANCE(""Currency:HKDEUR""),
IF($D37=""KRW"",'Original Data'!F37*GOOGLEFINANCE(""Currency:KRWEUR""),"""")))))))"),10.69)</f>
        <v>10.69</v>
      </c>
      <c r="G37" s="8">
        <f>IFERROR(__xludf.DUMMYFUNCTION("IF($D37=""Euro"",'Original Data'!G37,
IF($D37=""Dolar"",'Original Data'!G37*GOOGLEFINANCE(""Currency:USDEUR""),
IF($D37=""Franco Suíço"",'Original Data'!G37*GOOGLEFINANCE(""Currency:CHFEUR""),
IF($D37=""Libra Esterlina"", 'Original Data'!G37*GOOGLEFINANCE"&amp;"(""Currency:GBPEUR""),
IF($D37=""Iene"",'Original Data'!G37*GOOGLEFINANCE(""Currency:JPYEUR""),
IF($D37=""HKD"",'Original Data'!G37*GOOGLEFINANCE(""Currency:HKDEUR""),
IF($D37=""KRW"",'Original Data'!G37*GOOGLEFINANCE(""Currency:KRWEUR""),"""")))))))"),28.34)</f>
        <v>28.34</v>
      </c>
      <c r="H37" s="17">
        <v>9.43</v>
      </c>
      <c r="I37" s="7">
        <v>3554.0</v>
      </c>
      <c r="J37" s="9">
        <v>0.0658</v>
      </c>
      <c r="K37" s="9">
        <v>0.0375</v>
      </c>
      <c r="L37" s="9">
        <v>0.026</v>
      </c>
      <c r="M37" s="9">
        <v>0.066</v>
      </c>
      <c r="N37" s="8" t="str">
        <f>IFERROR(__xludf.DUMMYFUNCTION("IF('Original Data'!N37=""-"",""-"",
IF($D37=""Euro"",'Original Data'!N37,
IF($D37=""Dolar"",'Original Data'!N37*GOOGLEFINANCE(""Currency:USDEUR""),
IF($D37=""Franco Suíço"",'Original Data'!N37*GOOGLEFINANCE(""Currency:CHFEUR""),
IF($D37=""Libra Esterlina"&amp;""", 'Original Data'!N37*GOOGLEFINANCE(""Currency:GBPEUR""),
IF($D37=""Iene"",'Original Data'!N37*GOOGLEFINANCE(""Currency:JPYEUR""),
IF($D37=""HKD"",'Original Data'!N37*GOOGLEFINANCE(""Currency:HKDEUR""),
IF($D37=""KRW"",'Original Data'!N37*GOOGLEFINANCE("&amp;"""Currency:KRWEUR""),""""))))))))"),"-")</f>
        <v>-</v>
      </c>
      <c r="O37" s="8">
        <f>IFERROR(__xludf.DUMMYFUNCTION("IF('Original Data'!O37=""-"",""-"",
IF($D37=""Euro"",'Original Data'!O37,
IF($D37=""Dolar"",'Original Data'!O37*GOOGLEFINANCE(""Currency:USDEUR""),
IF($D37=""Franco Suíço"",'Original Data'!O37*GOOGLEFINANCE(""Currency:CHFEUR""),
IF($D37=""Libra Esterlina"&amp;""", 'Original Data'!O37*GOOGLEFINANCE(""Currency:GBPEUR""),
IF($D37=""Iene"",'Original Data'!O37*GOOGLEFINANCE(""Currency:JPYEUR""),
IF($D37=""HKD"",'Original Data'!O37*GOOGLEFINANCE(""Currency:HKDEUR""),
IF($D37=""KRW"",'Original Data'!O37*GOOGLEFINANCE("&amp;"""Currency:KRWEUR""),""""))))))))"),41.38)</f>
        <v>41.38</v>
      </c>
      <c r="P37" s="8">
        <f>IFERROR(__xludf.DUMMYFUNCTION("IF('Original Data'!P37=""-"",""-"",
IF($D37=""Euro"",'Original Data'!P37,
IF($D37=""Dolar"",'Original Data'!P37*GOOGLEFINANCE(""Currency:USDEUR""),
IF($D37=""Franco Suíço"",'Original Data'!P37*GOOGLEFINANCE(""Currency:CHFEUR""),
IF($D37=""Libra Esterlina"&amp;""", 'Original Data'!P37*GOOGLEFINANCE(""Currency:GBPEUR""),
IF($D37=""Iene"",'Original Data'!P37*GOOGLEFINANCE(""Currency:JPYEUR""),
IF($D37=""HKD"",'Original Data'!P37*GOOGLEFINANCE(""Currency:HKDEUR""),
IF($D37=""KRW"",'Original Data'!P37*GOOGLEFINANCE("&amp;"""Currency:KRWEUR""),""""))))))))"),42.24)</f>
        <v>42.24</v>
      </c>
      <c r="Q37" s="8">
        <f>IFERROR(__xludf.DUMMYFUNCTION("IF('Original Data'!Q37=""-"",""-"",
IF($D37=""Euro"",'Original Data'!Q37,
IF($D37=""Dolar"",'Original Data'!Q37*GOOGLEFINANCE(""Currency:USDEUR""),
IF($D37=""Franco Suíço"",'Original Data'!Q37*GOOGLEFINANCE(""Currency:CHFEUR""),
IF($D37=""Libra Esterlina"&amp;""", 'Original Data'!Q37*GOOGLEFINANCE(""Currency:GBPEUR""),
IF($D37=""Iene"",'Original Data'!Q37*GOOGLEFINANCE(""Currency:JPYEUR""),
IF($D37=""HKD"",'Original Data'!Q37*GOOGLEFINANCE(""Currency:HKDEUR""),
IF($D37=""KRW"",'Original Data'!Q37*GOOGLEFINANCE("&amp;"""Currency:KRWEUR""),""""))))))))"),42.27)</f>
        <v>42.27</v>
      </c>
      <c r="R37" s="8">
        <f>IFERROR(__xludf.DUMMYFUNCTION("IF('Original Data'!R37=""-"",""-"",
IF($D37=""Euro"",'Original Data'!R37,
IF($D37=""Dolar"",'Original Data'!R37*GOOGLEFINANCE(""Currency:USDEUR""),
IF($D37=""Franco Suíço"",'Original Data'!R37*GOOGLEFINANCE(""Currency:CHFEUR""),
IF($D37=""Libra Esterlina"&amp;""", 'Original Data'!R37*GOOGLEFINANCE(""Currency:GBPEUR""),
IF($D37=""Iene"",'Original Data'!R37*GOOGLEFINANCE(""Currency:JPYEUR""),
IF($D37=""HKD"",'Original Data'!R37*GOOGLEFINANCE(""Currency:HKDEUR""),
IF($D37=""KRW"",'Original Data'!R37*GOOGLEFINANCE("&amp;"""Currency:KRWEUR""),""""))))))))"),42.52)</f>
        <v>42.52</v>
      </c>
      <c r="S37" s="8">
        <f>IFERROR(__xludf.DUMMYFUNCTION("IF('Original Data'!S37=""-"",""-"",
IF($D37=""Euro"",'Original Data'!S37,
IF($D37=""Dolar"",'Original Data'!S37*GOOGLEFINANCE(""Currency:USDEUR""),
IF($D37=""Franco Suíço"",'Original Data'!S37*GOOGLEFINANCE(""Currency:CHFEUR""),
IF($D37=""Libra Esterlina"&amp;""", 'Original Data'!S37*GOOGLEFINANCE(""Currency:GBPEUR""),
IF($D37=""Iene"",'Original Data'!S37*GOOGLEFINANCE(""Currency:JPYEUR""),
IF($D37=""HKD"",'Original Data'!S37*GOOGLEFINANCE(""Currency:HKDEUR""),
IF($D37=""KRW"",'Original Data'!S37*GOOGLEFINANCE("&amp;"""Currency:KRWEUR""),""""))))))))"),11.59)</f>
        <v>11.59</v>
      </c>
      <c r="T37" s="8">
        <f>IFERROR(__xludf.DUMMYFUNCTION("IF('Original Data'!T37=""-"",""-"",
IF($D37=""Euro"",'Original Data'!T37,
IF($D37=""Dolar"",'Original Data'!T37*GOOGLEFINANCE(""Currency:USDEUR""),
IF($D37=""Franco Suíço"",'Original Data'!T37*GOOGLEFINANCE(""Currency:CHFEUR""),
IF($D37=""Libra Esterlina"&amp;""", 'Original Data'!T37*GOOGLEFINANCE(""Currency:GBPEUR""),
IF($D37=""Iene"",'Original Data'!T37*GOOGLEFINANCE(""Currency:JPYEUR""),
IF($D37=""HKD"",'Original Data'!T37*GOOGLEFINANCE(""Currency:HKDEUR""),
IF($D37=""KRW"",'Original Data'!T37*GOOGLEFINANCE("&amp;"""Currency:KRWEUR""),""""))))))))"),13.6)</f>
        <v>13.6</v>
      </c>
      <c r="U37" s="8">
        <f>IFERROR(__xludf.DUMMYFUNCTION("IF('Original Data'!U37=""-"",""-"",
IF($D37=""Euro"",'Original Data'!U37,
IF($D37=""Dolar"",'Original Data'!U37*GOOGLEFINANCE(""Currency:USDEUR""),
IF($D37=""Franco Suíço"",'Original Data'!U37*GOOGLEFINANCE(""Currency:CHFEUR""),
IF($D37=""Libra Esterlina"&amp;""", 'Original Data'!U37*GOOGLEFINANCE(""Currency:GBPEUR""),
IF($D37=""Iene"",'Original Data'!U37*GOOGLEFINANCE(""Currency:JPYEUR""),
IF($D37=""HKD"",'Original Data'!U37*GOOGLEFINANCE(""Currency:HKDEUR""),
IF($D37=""KRW"",'Original Data'!U37*GOOGLEFINANCE("&amp;"""Currency:KRWEUR""),""""))))))))"),13.64)</f>
        <v>13.64</v>
      </c>
      <c r="V37" s="8">
        <f>IFERROR(__xludf.DUMMYFUNCTION("IF('Original Data'!V37=""-"",""-"",
IF($D37=""Euro"",'Original Data'!V37,
IF($D37=""Dolar"",'Original Data'!V37*GOOGLEFINANCE(""Currency:USDEUR""),
IF($D37=""Franco Suíço"",'Original Data'!V37*GOOGLEFINANCE(""Currency:CHFEUR""),
IF($D37=""Libra Esterlina"&amp;""", 'Original Data'!V37*GOOGLEFINANCE(""Currency:GBPEUR""),
IF($D37=""Iene"",'Original Data'!V37*GOOGLEFINANCE(""Currency:JPYEUR""),
IF($D37=""HKD"",'Original Data'!V37*GOOGLEFINANCE(""Currency:HKDEUR""),
IF($D37=""KRW"",'Original Data'!V37*GOOGLEFINANCE("&amp;"""Currency:KRWEUR""),""""))))))))"),12.31)</f>
        <v>12.31</v>
      </c>
      <c r="W37" s="7" t="s">
        <v>43</v>
      </c>
      <c r="X37" s="7" t="s">
        <v>35</v>
      </c>
      <c r="Y37" s="7" t="s">
        <v>41</v>
      </c>
      <c r="Z37" s="7" t="s">
        <v>41</v>
      </c>
      <c r="AA37" s="7" t="s">
        <v>41</v>
      </c>
      <c r="AB37" s="7" t="s">
        <v>41</v>
      </c>
      <c r="AC37" s="7">
        <v>18.0</v>
      </c>
      <c r="AD37" s="7">
        <v>1.7</v>
      </c>
      <c r="AE37" s="7">
        <v>8.7</v>
      </c>
      <c r="AF37" s="7">
        <v>7.3</v>
      </c>
      <c r="AG37" s="7">
        <v>3.0</v>
      </c>
    </row>
    <row r="38">
      <c r="A38" s="16" t="s">
        <v>153</v>
      </c>
      <c r="B38" s="16" t="s">
        <v>154</v>
      </c>
      <c r="C38" s="16" t="s">
        <v>155</v>
      </c>
      <c r="D38" s="7" t="s">
        <v>40</v>
      </c>
      <c r="E38" s="8">
        <f>IFERROR(__xludf.DUMMYFUNCTION("IF($D38=""Euro"",'Original Data'!E38,
IF($D38=""Dolar"",'Original Data'!E38*GOOGLEFINANCE(""Currency:USDEUR""),
IF($D38=""Franco Suíço"",'Original Data'!E38*GOOGLEFINANCE(""Currency:CHFEUR""),
IF($D38=""Libra Esterlina"", 'Original Data'!E38*GOOGLEFINANCE"&amp;"(""Currency:GBPEUR""),
IF($D38=""Iene"",'Original Data'!E38*GOOGLEFINANCE(""Currency:JPYEUR""),
IF($D38=""HKD"",'Original Data'!E38*GOOGLEFINANCE(""Currency:HKDEUR""),
IF($D38=""KRW"",'Original Data'!E38*GOOGLEFINANCE(""Currency:KRWEUR""),"""")))))))"),2.14127)</f>
        <v>2.14127</v>
      </c>
      <c r="F38" s="8">
        <f>IFERROR(__xludf.DUMMYFUNCTION("IF($D38=""Euro"",'Original Data'!F38,
IF($D38=""Dolar"",'Original Data'!F38*GOOGLEFINANCE(""Currency:USDEUR""),
IF($D38=""Franco Suíço"",'Original Data'!F38*GOOGLEFINANCE(""Currency:CHFEUR""),
IF($D38=""Libra Esterlina"", 'Original Data'!F38*GOOGLEFINANCE"&amp;"(""Currency:GBPEUR""),
IF($D38=""Iene"",'Original Data'!F38*GOOGLEFINANCE(""Currency:JPYEUR""),
IF($D38=""HKD"",'Original Data'!F38*GOOGLEFINANCE(""Currency:HKDEUR""),
IF($D38=""KRW"",'Original Data'!F38*GOOGLEFINANCE(""Currency:KRWEUR""),"""")))))))"),502.47243999999995)</f>
        <v>502.47244</v>
      </c>
      <c r="G38" s="8">
        <f>IFERROR(__xludf.DUMMYFUNCTION("IF($D38=""Euro"",'Original Data'!G38,
IF($D38=""Dolar"",'Original Data'!G38*GOOGLEFINANCE(""Currency:USDEUR""),
IF($D38=""Franco Suíço"",'Original Data'!G38*GOOGLEFINANCE(""Currency:CHFEUR""),
IF($D38=""Libra Esterlina"", 'Original Data'!G38*GOOGLEFINANCE"&amp;"(""Currency:GBPEUR""),
IF($D38=""Iene"",'Original Data'!G38*GOOGLEFINANCE(""Currency:JPYEUR""),
IF($D38=""HKD"",'Original Data'!G38*GOOGLEFINANCE(""Currency:HKDEUR""),
IF($D38=""KRW"",'Original Data'!G38*GOOGLEFINANCE(""Currency:KRWEUR""),"""")))))))"),69.59587)</f>
        <v>69.59587</v>
      </c>
      <c r="H38" s="17">
        <v>1.49</v>
      </c>
      <c r="I38" s="7">
        <v>16.92</v>
      </c>
      <c r="J38" s="9">
        <v>0.011</v>
      </c>
      <c r="K38" s="9">
        <v>0.2572</v>
      </c>
      <c r="L38" s="9">
        <v>0.1996</v>
      </c>
      <c r="M38" s="9">
        <v>0.4472</v>
      </c>
      <c r="N38" s="8">
        <f>IFERROR(__xludf.DUMMYFUNCTION("IF('Original Data'!N38=""-"",""-"",
IF($D38=""Euro"",'Original Data'!N38,
IF($D38=""Dolar"",'Original Data'!N38*GOOGLEFINANCE(""Currency:USDEUR""),
IF($D38=""Franco Suíço"",'Original Data'!N38*GOOGLEFINANCE(""Currency:CHFEUR""),
IF($D38=""Libra Esterlina"&amp;""", 'Original Data'!N38*GOOGLEFINANCE(""Currency:GBPEUR""),
IF($D38=""Iene"",'Original Data'!N38*GOOGLEFINANCE(""Currency:JPYEUR""),
IF($D38=""HKD"",'Original Data'!N38*GOOGLEFINANCE(""Currency:HKDEUR""),
IF($D38=""KRW"",'Original Data'!N38*GOOGLEFINANCE("&amp;"""Currency:KRWEUR""),""""))))))))"),25.015179999999997)</f>
        <v>25.01518</v>
      </c>
      <c r="O38" s="8">
        <f>IFERROR(__xludf.DUMMYFUNCTION("IF('Original Data'!O38=""-"",""-"",
IF($D38=""Euro"",'Original Data'!O38,
IF($D38=""Dolar"",'Original Data'!O38*GOOGLEFINANCE(""Currency:USDEUR""),
IF($D38=""Franco Suíço"",'Original Data'!O38*GOOGLEFINANCE(""Currency:CHFEUR""),
IF($D38=""Libra Esterlina"&amp;""", 'Original Data'!O38*GOOGLEFINANCE(""Currency:GBPEUR""),
IF($D38=""Iene"",'Original Data'!O38*GOOGLEFINANCE(""Currency:JPYEUR""),
IF($D38=""HKD"",'Original Data'!O38*GOOGLEFINANCE(""Currency:HKDEUR""),
IF($D38=""KRW"",'Original Data'!O38*GOOGLEFINANCE("&amp;"""Currency:KRWEUR""),""""))))))))"),10.191709999999999)</f>
        <v>10.19171</v>
      </c>
      <c r="P38" s="8">
        <f>IFERROR(__xludf.DUMMYFUNCTION("IF('Original Data'!P38=""-"",""-"",
IF($D38=""Euro"",'Original Data'!P38,
IF($D38=""Dolar"",'Original Data'!P38*GOOGLEFINANCE(""Currency:USDEUR""),
IF($D38=""Franco Suíço"",'Original Data'!P38*GOOGLEFINANCE(""Currency:CHFEUR""),
IF($D38=""Libra Esterlina"&amp;""", 'Original Data'!P38*GOOGLEFINANCE(""Currency:GBPEUR""),
IF($D38=""Iene"",'Original Data'!P38*GOOGLEFINANCE(""Currency:JPYEUR""),
IF($D38=""HKD"",'Original Data'!P38*GOOGLEFINANCE(""Currency:HKDEUR""),
IF($D38=""KRW"",'Original Data'!P38*GOOGLEFINANCE("&amp;"""Currency:KRWEUR""),""""))))))))"),8.85916)</f>
        <v>8.85916</v>
      </c>
      <c r="Q38" s="8">
        <f>IFERROR(__xludf.DUMMYFUNCTION("IF('Original Data'!Q38=""-"",""-"",
IF($D38=""Euro"",'Original Data'!Q38,
IF($D38=""Dolar"",'Original Data'!Q38*GOOGLEFINANCE(""Currency:USDEUR""),
IF($D38=""Franco Suíço"",'Original Data'!Q38*GOOGLEFINANCE(""Currency:CHFEUR""),
IF($D38=""Libra Esterlina"&amp;""", 'Original Data'!Q38*GOOGLEFINANCE(""Currency:GBPEUR""),
IF($D38=""Iene"",'Original Data'!Q38*GOOGLEFINANCE(""Currency:JPYEUR""),
IF($D38=""HKD"",'Original Data'!Q38*GOOGLEFINANCE(""Currency:HKDEUR""),
IF($D38=""KRW"",'Original Data'!Q38*GOOGLEFINANCE("&amp;"""Currency:KRWEUR""),""""))))))))"),9.226759999999999)</f>
        <v>9.22676</v>
      </c>
      <c r="R38" s="8">
        <f>IFERROR(__xludf.DUMMYFUNCTION("IF('Original Data'!R38=""-"",""-"",
IF($D38=""Euro"",'Original Data'!R38,
IF($D38=""Dolar"",'Original Data'!R38*GOOGLEFINANCE(""Currency:USDEUR""),
IF($D38=""Franco Suíço"",'Original Data'!R38*GOOGLEFINANCE(""Currency:CHFEUR""),
IF($D38=""Libra Esterlina"&amp;""", 'Original Data'!R38*GOOGLEFINANCE(""Currency:GBPEUR""),
IF($D38=""Iene"",'Original Data'!R38*GOOGLEFINANCE(""Currency:JPYEUR""),
IF($D38=""HKD"",'Original Data'!R38*GOOGLEFINANCE(""Currency:HKDEUR""),
IF($D38=""KRW"",'Original Data'!R38*GOOGLEFINANCE("&amp;"""Currency:KRWEUR""),""""))))))))"),13.44497)</f>
        <v>13.44497</v>
      </c>
      <c r="S38" s="8">
        <f>IFERROR(__xludf.DUMMYFUNCTION("IF('Original Data'!S38=""-"",""-"",
IF($D38=""Euro"",'Original Data'!S38,
IF($D38=""Dolar"",'Original Data'!S38*GOOGLEFINANCE(""Currency:USDEUR""),
IF($D38=""Franco Suíço"",'Original Data'!S38*GOOGLEFINANCE(""Currency:CHFEUR""),
IF($D38=""Libra Esterlina"&amp;""", 'Original Data'!S38*GOOGLEFINANCE(""Currency:GBPEUR""),
IF($D38=""Iene"",'Original Data'!S38*GOOGLEFINANCE(""Currency:JPYEUR""),
IF($D38=""HKD"",'Original Data'!S38*GOOGLEFINANCE(""Currency:HKDEUR""),
IF($D38=""KRW"",'Original Data'!S38*GOOGLEFINANCE("&amp;"""Currency:KRWEUR""),""""))))))))"),3.2624499999999994)</f>
        <v>3.26245</v>
      </c>
      <c r="T38" s="8">
        <f>IFERROR(__xludf.DUMMYFUNCTION("IF('Original Data'!T38=""-"",""-"",
IF($D38=""Euro"",'Original Data'!T38,
IF($D38=""Dolar"",'Original Data'!T38*GOOGLEFINANCE(""Currency:USDEUR""),
IF($D38=""Franco Suíço"",'Original Data'!T38*GOOGLEFINANCE(""Currency:CHFEUR""),
IF($D38=""Libra Esterlina"&amp;""", 'Original Data'!T38*GOOGLEFINANCE(""Currency:GBPEUR""),
IF($D38=""Iene"",'Original Data'!T38*GOOGLEFINANCE(""Currency:JPYEUR""),
IF($D38=""HKD"",'Original Data'!T38*GOOGLEFINANCE(""Currency:HKDEUR""),
IF($D38=""KRW"",'Original Data'!T38*GOOGLEFINANCE("&amp;"""Currency:KRWEUR""),""""))))))))"),2.5456299999999996)</f>
        <v>2.54563</v>
      </c>
      <c r="U38" s="8">
        <f>IFERROR(__xludf.DUMMYFUNCTION("IF('Original Data'!U38=""-"",""-"",
IF($D38=""Euro"",'Original Data'!U38,
IF($D38=""Dolar"",'Original Data'!U38*GOOGLEFINANCE(""Currency:USDEUR""),
IF($D38=""Franco Suíço"",'Original Data'!U38*GOOGLEFINANCE(""Currency:CHFEUR""),
IF($D38=""Libra Esterlina"&amp;""", 'Original Data'!U38*GOOGLEFINANCE(""Currency:GBPEUR""),
IF($D38=""Iene"",'Original Data'!U38*GOOGLEFINANCE(""Currency:JPYEUR""),
IF($D38=""HKD"",'Original Data'!U38*GOOGLEFINANCE(""Currency:HKDEUR""),
IF($D38=""KRW"",'Original Data'!U38*GOOGLEFINANCE("&amp;"""Currency:KRWEUR""),""""))))))))"),2.70186)</f>
        <v>2.70186</v>
      </c>
      <c r="V38" s="8">
        <f>IFERROR(__xludf.DUMMYFUNCTION("IF('Original Data'!V38=""-"",""-"",
IF($D38=""Euro"",'Original Data'!V38,
IF($D38=""Dolar"",'Original Data'!V38*GOOGLEFINANCE(""Currency:USDEUR""),
IF($D38=""Franco Suíço"",'Original Data'!V38*GOOGLEFINANCE(""Currency:CHFEUR""),
IF($D38=""Libra Esterlina"&amp;""", 'Original Data'!V38*GOOGLEFINANCE(""Currency:GBPEUR""),
IF($D38=""Iene"",'Original Data'!V38*GOOGLEFINANCE(""Currency:JPYEUR""),
IF($D38=""HKD"",'Original Data'!V38*GOOGLEFINANCE(""Currency:HKDEUR""),
IF($D38=""KRW"",'Original Data'!V38*GOOGLEFINANCE("&amp;"""Currency:KRWEUR""),""""))))))))"),4.3928199999999995)</f>
        <v>4.39282</v>
      </c>
      <c r="W38" s="7" t="s">
        <v>43</v>
      </c>
      <c r="X38" s="7" t="s">
        <v>43</v>
      </c>
      <c r="Y38" s="7" t="s">
        <v>41</v>
      </c>
      <c r="Z38" s="7" t="s">
        <v>41</v>
      </c>
      <c r="AA38" s="7" t="s">
        <v>43</v>
      </c>
      <c r="AB38" s="7" t="s">
        <v>43</v>
      </c>
      <c r="AC38" s="7">
        <v>15.0</v>
      </c>
      <c r="AD38" s="7">
        <v>5.1</v>
      </c>
      <c r="AE38" s="7">
        <v>4.5</v>
      </c>
      <c r="AF38" s="7">
        <v>5.3</v>
      </c>
      <c r="AG38" s="7">
        <v>1.0</v>
      </c>
    </row>
    <row r="39">
      <c r="A39" s="16" t="s">
        <v>156</v>
      </c>
      <c r="B39" s="16" t="s">
        <v>157</v>
      </c>
      <c r="C39" s="16" t="s">
        <v>158</v>
      </c>
      <c r="D39" s="7" t="s">
        <v>33</v>
      </c>
      <c r="E39" s="8">
        <f>IFERROR(__xludf.DUMMYFUNCTION("IF($D39=""Euro"",'Original Data'!E39,
IF($D39=""Dolar"",'Original Data'!E39*GOOGLEFINANCE(""Currency:USDEUR""),
IF($D39=""Franco Suíço"",'Original Data'!E39*GOOGLEFINANCE(""Currency:CHFEUR""),
IF($D39=""Libra Esterlina"", 'Original Data'!E39*GOOGLEFINANCE"&amp;"(""Currency:GBPEUR""),
IF($D39=""Iene"",'Original Data'!E39*GOOGLEFINANCE(""Currency:JPYEUR""),
IF($D39=""HKD"",'Original Data'!E39*GOOGLEFINANCE(""Currency:HKDEUR""),
IF($D39=""KRW"",'Original Data'!E39*GOOGLEFINANCE(""Currency:KRWEUR""),"""")))))))"),13.56)</f>
        <v>13.56</v>
      </c>
      <c r="F39" s="8">
        <f>IFERROR(__xludf.DUMMYFUNCTION("IF($D39=""Euro"",'Original Data'!F39,
IF($D39=""Dolar"",'Original Data'!F39*GOOGLEFINANCE(""Currency:USDEUR""),
IF($D39=""Franco Suíço"",'Original Data'!F39*GOOGLEFINANCE(""Currency:CHFEUR""),
IF($D39=""Libra Esterlina"", 'Original Data'!F39*GOOGLEFINANCE"&amp;"(""Currency:GBPEUR""),
IF($D39=""Iene"",'Original Data'!F39*GOOGLEFINANCE(""Currency:JPYEUR""),
IF($D39=""HKD"",'Original Data'!F39*GOOGLEFINANCE(""Currency:HKDEUR""),
IF($D39=""KRW"",'Original Data'!F39*GOOGLEFINANCE(""Currency:KRWEUR""),"""")))))))"),18.82)</f>
        <v>18.82</v>
      </c>
      <c r="G39" s="8">
        <f>IFERROR(__xludf.DUMMYFUNCTION("IF($D39=""Euro"",'Original Data'!G39,
IF($D39=""Dolar"",'Original Data'!G39*GOOGLEFINANCE(""Currency:USDEUR""),
IF($D39=""Franco Suíço"",'Original Data'!G39*GOOGLEFINANCE(""Currency:CHFEUR""),
IF($D39=""Libra Esterlina"", 'Original Data'!G39*GOOGLEFINANCE"&amp;"(""Currency:GBPEUR""),
IF($D39=""Iene"",'Original Data'!G39*GOOGLEFINANCE(""Currency:JPYEUR""),
IF($D39=""HKD"",'Original Data'!G39*GOOGLEFINANCE(""Currency:HKDEUR""),
IF($D39=""KRW"",'Original Data'!G39*GOOGLEFINANCE(""Currency:KRWEUR""),"""")))))))"),29.73)</f>
        <v>29.73</v>
      </c>
      <c r="H39" s="17">
        <v>6.09</v>
      </c>
      <c r="I39" s="7">
        <v>10.61</v>
      </c>
      <c r="J39" s="9">
        <v>0.0785</v>
      </c>
      <c r="K39" s="7" t="s">
        <v>51</v>
      </c>
      <c r="L39" s="9">
        <v>0.0047</v>
      </c>
      <c r="M39" s="9">
        <v>0.0842</v>
      </c>
      <c r="N39" s="8">
        <f>IFERROR(__xludf.DUMMYFUNCTION("IF('Original Data'!N39=""-"",""-"",
IF($D39=""Euro"",'Original Data'!N39,
IF($D39=""Dolar"",'Original Data'!N39*GOOGLEFINANCE(""Currency:USDEUR""),
IF($D39=""Franco Suíço"",'Original Data'!N39*GOOGLEFINANCE(""Currency:CHFEUR""),
IF($D39=""Libra Esterlina"&amp;""", 'Original Data'!N39*GOOGLEFINANCE(""Currency:GBPEUR""),
IF($D39=""Iene"",'Original Data'!N39*GOOGLEFINANCE(""Currency:JPYEUR""),
IF($D39=""HKD"",'Original Data'!N39*GOOGLEFINANCE(""Currency:HKDEUR""),
IF($D39=""KRW"",'Original Data'!N39*GOOGLEFINANCE("&amp;"""Currency:KRWEUR""),""""))))))))"),1.81)</f>
        <v>1.81</v>
      </c>
      <c r="O39" s="8">
        <f>IFERROR(__xludf.DUMMYFUNCTION("IF('Original Data'!O39=""-"",""-"",
IF($D39=""Euro"",'Original Data'!O39,
IF($D39=""Dolar"",'Original Data'!O39*GOOGLEFINANCE(""Currency:USDEUR""),
IF($D39=""Franco Suíço"",'Original Data'!O39*GOOGLEFINANCE(""Currency:CHFEUR""),
IF($D39=""Libra Esterlina"&amp;""", 'Original Data'!O39*GOOGLEFINANCE(""Currency:GBPEUR""),
IF($D39=""Iene"",'Original Data'!O39*GOOGLEFINANCE(""Currency:JPYEUR""),
IF($D39=""HKD"",'Original Data'!O39*GOOGLEFINANCE(""Currency:HKDEUR""),
IF($D39=""KRW"",'Original Data'!O39*GOOGLEFINANCE("&amp;"""Currency:KRWEUR""),""""))))))))"),78.07)</f>
        <v>78.07</v>
      </c>
      <c r="P39" s="8">
        <f>IFERROR(__xludf.DUMMYFUNCTION("IF('Original Data'!P39=""-"",""-"",
IF($D39=""Euro"",'Original Data'!P39,
IF($D39=""Dolar"",'Original Data'!P39*GOOGLEFINANCE(""Currency:USDEUR""),
IF($D39=""Franco Suíço"",'Original Data'!P39*GOOGLEFINANCE(""Currency:CHFEUR""),
IF($D39=""Libra Esterlina"&amp;""", 'Original Data'!P39*GOOGLEFINANCE(""Currency:GBPEUR""),
IF($D39=""Iene"",'Original Data'!P39*GOOGLEFINANCE(""Currency:JPYEUR""),
IF($D39=""HKD"",'Original Data'!P39*GOOGLEFINANCE(""Currency:HKDEUR""),
IF($D39=""KRW"",'Original Data'!P39*GOOGLEFINANCE("&amp;"""Currency:KRWEUR""),""""))))))))"),81.91)</f>
        <v>81.91</v>
      </c>
      <c r="Q39" s="8">
        <f>IFERROR(__xludf.DUMMYFUNCTION("IF('Original Data'!Q39=""-"",""-"",
IF($D39=""Euro"",'Original Data'!Q39,
IF($D39=""Dolar"",'Original Data'!Q39*GOOGLEFINANCE(""Currency:USDEUR""),
IF($D39=""Franco Suíço"",'Original Data'!Q39*GOOGLEFINANCE(""Currency:CHFEUR""),
IF($D39=""Libra Esterlina"&amp;""", 'Original Data'!Q39*GOOGLEFINANCE(""Currency:GBPEUR""),
IF($D39=""Iene"",'Original Data'!Q39*GOOGLEFINANCE(""Currency:JPYEUR""),
IF($D39=""HKD"",'Original Data'!Q39*GOOGLEFINANCE(""Currency:HKDEUR""),
IF($D39=""KRW"",'Original Data'!Q39*GOOGLEFINANCE("&amp;"""Currency:KRWEUR""),""""))))))))"),78.93)</f>
        <v>78.93</v>
      </c>
      <c r="R39" s="8">
        <f>IFERROR(__xludf.DUMMYFUNCTION("IF('Original Data'!R39=""-"",""-"",
IF($D39=""Euro"",'Original Data'!R39,
IF($D39=""Dolar"",'Original Data'!R39*GOOGLEFINANCE(""Currency:USDEUR""),
IF($D39=""Franco Suíço"",'Original Data'!R39*GOOGLEFINANCE(""Currency:CHFEUR""),
IF($D39=""Libra Esterlina"&amp;""", 'Original Data'!R39*GOOGLEFINANCE(""Currency:GBPEUR""),
IF($D39=""Iene"",'Original Data'!R39*GOOGLEFINANCE(""Currency:JPYEUR""),
IF($D39=""HKD"",'Original Data'!R39*GOOGLEFINANCE(""Currency:HKDEUR""),
IF($D39=""KRW"",'Original Data'!R39*GOOGLEFINANCE("&amp;"""Currency:KRWEUR""),""""))))))))"),97.2)</f>
        <v>97.2</v>
      </c>
      <c r="S39" s="8" t="str">
        <f>IFERROR(__xludf.DUMMYFUNCTION("IF('Original Data'!S39=""-"",""-"",
IF($D39=""Euro"",'Original Data'!S39,
IF($D39=""Dolar"",'Original Data'!S39*GOOGLEFINANCE(""Currency:USDEUR""),
IF($D39=""Franco Suíço"",'Original Data'!S39*GOOGLEFINANCE(""Currency:CHFEUR""),
IF($D39=""Libra Esterlina"&amp;""", 'Original Data'!S39*GOOGLEFINANCE(""Currency:GBPEUR""),
IF($D39=""Iene"",'Original Data'!S39*GOOGLEFINANCE(""Currency:JPYEUR""),
IF($D39=""HKD"",'Original Data'!S39*GOOGLEFINANCE(""Currency:HKDEUR""),
IF($D39=""KRW"",'Original Data'!S39*GOOGLEFINANCE("&amp;"""Currency:KRWEUR""),""""))))))))"),"-")</f>
        <v>-</v>
      </c>
      <c r="T39" s="8" t="str">
        <f>IFERROR(__xludf.DUMMYFUNCTION("IF('Original Data'!T39=""-"",""-"",
IF($D39=""Euro"",'Original Data'!T39,
IF($D39=""Dolar"",'Original Data'!T39*GOOGLEFINANCE(""Currency:USDEUR""),
IF($D39=""Franco Suíço"",'Original Data'!T39*GOOGLEFINANCE(""Currency:CHFEUR""),
IF($D39=""Libra Esterlina"&amp;""", 'Original Data'!T39*GOOGLEFINANCE(""Currency:GBPEUR""),
IF($D39=""Iene"",'Original Data'!T39*GOOGLEFINANCE(""Currency:JPYEUR""),
IF($D39=""HKD"",'Original Data'!T39*GOOGLEFINANCE(""Currency:HKDEUR""),
IF($D39=""KRW"",'Original Data'!T39*GOOGLEFINANCE("&amp;"""Currency:KRWEUR""),""""))))))))"),"-")</f>
        <v>-</v>
      </c>
      <c r="U39" s="8" t="str">
        <f>IFERROR(__xludf.DUMMYFUNCTION("IF('Original Data'!U39=""-"",""-"",
IF($D39=""Euro"",'Original Data'!U39,
IF($D39=""Dolar"",'Original Data'!U39*GOOGLEFINANCE(""Currency:USDEUR""),
IF($D39=""Franco Suíço"",'Original Data'!U39*GOOGLEFINANCE(""Currency:CHFEUR""),
IF($D39=""Libra Esterlina"&amp;""", 'Original Data'!U39*GOOGLEFINANCE(""Currency:GBPEUR""),
IF($D39=""Iene"",'Original Data'!U39*GOOGLEFINANCE(""Currency:JPYEUR""),
IF($D39=""HKD"",'Original Data'!U39*GOOGLEFINANCE(""Currency:HKDEUR""),
IF($D39=""KRW"",'Original Data'!U39*GOOGLEFINANCE("&amp;"""Currency:KRWEUR""),""""))))))))"),"-")</f>
        <v>-</v>
      </c>
      <c r="V39" s="8" t="str">
        <f>IFERROR(__xludf.DUMMYFUNCTION("IF('Original Data'!V39=""-"",""-"",
IF($D39=""Euro"",'Original Data'!V39,
IF($D39=""Dolar"",'Original Data'!V39*GOOGLEFINANCE(""Currency:USDEUR""),
IF($D39=""Franco Suíço"",'Original Data'!V39*GOOGLEFINANCE(""Currency:CHFEUR""),
IF($D39=""Libra Esterlina"&amp;""", 'Original Data'!V39*GOOGLEFINANCE(""Currency:GBPEUR""),
IF($D39=""Iene"",'Original Data'!V39*GOOGLEFINANCE(""Currency:JPYEUR""),
IF($D39=""HKD"",'Original Data'!V39*GOOGLEFINANCE(""Currency:HKDEUR""),
IF($D39=""KRW"",'Original Data'!V39*GOOGLEFINANCE("&amp;"""Currency:KRWEUR""),""""))))))))"),"-")</f>
        <v>-</v>
      </c>
      <c r="W39" s="7" t="s">
        <v>35</v>
      </c>
      <c r="X39" s="7" t="s">
        <v>43</v>
      </c>
      <c r="Y39" s="7" t="s">
        <v>41</v>
      </c>
      <c r="Z39" s="7" t="s">
        <v>41</v>
      </c>
      <c r="AA39" s="7" t="s">
        <v>41</v>
      </c>
      <c r="AB39" s="7" t="s">
        <v>41</v>
      </c>
      <c r="AC39" s="7">
        <v>16.0</v>
      </c>
      <c r="AD39" s="7">
        <v>1.0</v>
      </c>
      <c r="AE39" s="7">
        <v>4.0</v>
      </c>
      <c r="AF39" s="7">
        <v>10.8</v>
      </c>
      <c r="AG39" s="7">
        <v>2.0</v>
      </c>
    </row>
    <row r="40">
      <c r="A40" s="16" t="s">
        <v>159</v>
      </c>
      <c r="B40" s="16" t="s">
        <v>160</v>
      </c>
      <c r="C40" s="16" t="s">
        <v>161</v>
      </c>
      <c r="D40" s="7" t="s">
        <v>33</v>
      </c>
      <c r="E40" s="8">
        <f>IFERROR(__xludf.DUMMYFUNCTION("IF($D40=""Euro"",'Original Data'!E40,
IF($D40=""Dolar"",'Original Data'!E40*GOOGLEFINANCE(""Currency:USDEUR""),
IF($D40=""Franco Suíço"",'Original Data'!E40*GOOGLEFINANCE(""Currency:CHFEUR""),
IF($D40=""Libra Esterlina"", 'Original Data'!E40*GOOGLEFINANCE"&amp;"(""Currency:GBPEUR""),
IF($D40=""Iene"",'Original Data'!E40*GOOGLEFINANCE(""Currency:JPYEUR""),
IF($D40=""HKD"",'Original Data'!E40*GOOGLEFINANCE(""Currency:HKDEUR""),
IF($D40=""KRW"",'Original Data'!E40*GOOGLEFINANCE(""Currency:KRWEUR""),"""")))))))"),31.8)</f>
        <v>31.8</v>
      </c>
      <c r="F40" s="8">
        <f>IFERROR(__xludf.DUMMYFUNCTION("IF($D40=""Euro"",'Original Data'!F40,
IF($D40=""Dolar"",'Original Data'!F40*GOOGLEFINANCE(""Currency:USDEUR""),
IF($D40=""Franco Suíço"",'Original Data'!F40*GOOGLEFINANCE(""Currency:CHFEUR""),
IF($D40=""Libra Esterlina"", 'Original Data'!F40*GOOGLEFINANCE"&amp;"(""Currency:GBPEUR""),
IF($D40=""Iene"",'Original Data'!F40*GOOGLEFINANCE(""Currency:JPYEUR""),
IF($D40=""HKD"",'Original Data'!F40*GOOGLEFINANCE(""Currency:HKDEUR""),
IF($D40=""KRW"",'Original Data'!F40*GOOGLEFINANCE(""Currency:KRWEUR""),"""")))))))"),163.65)</f>
        <v>163.65</v>
      </c>
      <c r="G40" s="8">
        <f>IFERROR(__xludf.DUMMYFUNCTION("IF($D40=""Euro"",'Original Data'!G40,
IF($D40=""Dolar"",'Original Data'!G40*GOOGLEFINANCE(""Currency:USDEUR""),
IF($D40=""Franco Suíço"",'Original Data'!G40*GOOGLEFINANCE(""Currency:CHFEUR""),
IF($D40=""Libra Esterlina"", 'Original Data'!G40*GOOGLEFINANCE"&amp;"(""Currency:GBPEUR""),
IF($D40=""Iene"",'Original Data'!G40*GOOGLEFINANCE(""Currency:JPYEUR""),
IF($D40=""HKD"",'Original Data'!G40*GOOGLEFINANCE(""Currency:HKDEUR""),
IF($D40=""KRW"",'Original Data'!G40*GOOGLEFINANCE(""Currency:KRWEUR""),"""")))))))"),29.23)</f>
        <v>29.23</v>
      </c>
      <c r="H40" s="17">
        <v>0.5657</v>
      </c>
      <c r="I40" s="7">
        <v>24.19</v>
      </c>
      <c r="J40" s="9">
        <v>0.0196</v>
      </c>
      <c r="K40" s="9">
        <v>0.0663</v>
      </c>
      <c r="L40" s="9">
        <v>0.0066</v>
      </c>
      <c r="M40" s="9">
        <v>0.1821</v>
      </c>
      <c r="N40" s="8">
        <f>IFERROR(__xludf.DUMMYFUNCTION("IF('Original Data'!N40=""-"",""-"",
IF($D40=""Euro"",'Original Data'!N40,
IF($D40=""Dolar"",'Original Data'!N40*GOOGLEFINANCE(""Currency:USDEUR""),
IF($D40=""Franco Suíço"",'Original Data'!N40*GOOGLEFINANCE(""Currency:CHFEUR""),
IF($D40=""Libra Esterlina"&amp;""", 'Original Data'!N40*GOOGLEFINANCE(""Currency:GBPEUR""),
IF($D40=""Iene"",'Original Data'!N40*GOOGLEFINANCE(""Currency:JPYEUR""),
IF($D40=""HKD"",'Original Data'!N40*GOOGLEFINANCE(""Currency:HKDEUR""),
IF($D40=""KRW"",'Original Data'!N40*GOOGLEFINANCE("&amp;"""Currency:KRWEUR""),""""))))))))"),6.59)</f>
        <v>6.59</v>
      </c>
      <c r="O40" s="8">
        <f>IFERROR(__xludf.DUMMYFUNCTION("IF('Original Data'!O40=""-"",""-"",
IF($D40=""Euro"",'Original Data'!O40,
IF($D40=""Dolar"",'Original Data'!O40*GOOGLEFINANCE(""Currency:USDEUR""),
IF($D40=""Franco Suíço"",'Original Data'!O40*GOOGLEFINANCE(""Currency:CHFEUR""),
IF($D40=""Libra Esterlina"&amp;""", 'Original Data'!O40*GOOGLEFINANCE(""Currency:GBPEUR""),
IF($D40=""Iene"",'Original Data'!O40*GOOGLEFINANCE(""Currency:JPYEUR""),
IF($D40=""HKD"",'Original Data'!O40*GOOGLEFINANCE(""Currency:HKDEUR""),
IF($D40=""KRW"",'Original Data'!O40*GOOGLEFINANCE("&amp;"""Currency:KRWEUR""),""""))))))))"),3.36)</f>
        <v>3.36</v>
      </c>
      <c r="P40" s="8">
        <f>IFERROR(__xludf.DUMMYFUNCTION("IF('Original Data'!P40=""-"",""-"",
IF($D40=""Euro"",'Original Data'!P40,
IF($D40=""Dolar"",'Original Data'!P40*GOOGLEFINANCE(""Currency:USDEUR""),
IF($D40=""Franco Suíço"",'Original Data'!P40*GOOGLEFINANCE(""Currency:CHFEUR""),
IF($D40=""Libra Esterlina"&amp;""", 'Original Data'!P40*GOOGLEFINANCE(""Currency:GBPEUR""),
IF($D40=""Iene"",'Original Data'!P40*GOOGLEFINANCE(""Currency:JPYEUR""),
IF($D40=""HKD"",'Original Data'!P40*GOOGLEFINANCE(""Currency:HKDEUR""),
IF($D40=""KRW"",'Original Data'!P40*GOOGLEFINANCE("&amp;"""Currency:KRWEUR""),""""))))))))"),3.52)</f>
        <v>3.52</v>
      </c>
      <c r="Q40" s="8">
        <f>IFERROR(__xludf.DUMMYFUNCTION("IF('Original Data'!Q40=""-"",""-"",
IF($D40=""Euro"",'Original Data'!Q40,
IF($D40=""Dolar"",'Original Data'!Q40*GOOGLEFINANCE(""Currency:USDEUR""),
IF($D40=""Franco Suíço"",'Original Data'!Q40*GOOGLEFINANCE(""Currency:CHFEUR""),
IF($D40=""Libra Esterlina"&amp;""", 'Original Data'!Q40*GOOGLEFINANCE(""Currency:GBPEUR""),
IF($D40=""Iene"",'Original Data'!Q40*GOOGLEFINANCE(""Currency:JPYEUR""),
IF($D40=""HKD"",'Original Data'!Q40*GOOGLEFINANCE(""Currency:HKDEUR""),
IF($D40=""KRW"",'Original Data'!Q40*GOOGLEFINANCE("&amp;"""Currency:KRWEUR""),""""))))))))"),4.0)</f>
        <v>4</v>
      </c>
      <c r="R40" s="8">
        <f>IFERROR(__xludf.DUMMYFUNCTION("IF('Original Data'!R40=""-"",""-"",
IF($D40=""Euro"",'Original Data'!R40,
IF($D40=""Dolar"",'Original Data'!R40*GOOGLEFINANCE(""Currency:USDEUR""),
IF($D40=""Franco Suíço"",'Original Data'!R40*GOOGLEFINANCE(""Currency:CHFEUR""),
IF($D40=""Libra Esterlina"&amp;""", 'Original Data'!R40*GOOGLEFINANCE(""Currency:GBPEUR""),
IF($D40=""Iene"",'Original Data'!R40*GOOGLEFINANCE(""Currency:JPYEUR""),
IF($D40=""HKD"",'Original Data'!R40*GOOGLEFINANCE(""Currency:HKDEUR""),
IF($D40=""KRW"",'Original Data'!R40*GOOGLEFINANCE("&amp;"""Currency:KRWEUR""),""""))))))))"),4.63)</f>
        <v>4.63</v>
      </c>
      <c r="S40" s="8">
        <f>IFERROR(__xludf.DUMMYFUNCTION("IF('Original Data'!S40=""-"",""-"",
IF($D40=""Euro"",'Original Data'!S40,
IF($D40=""Dolar"",'Original Data'!S40*GOOGLEFINANCE(""Currency:USDEUR""),
IF($D40=""Franco Suíço"",'Original Data'!S40*GOOGLEFINANCE(""Currency:CHFEUR""),
IF($D40=""Libra Esterlina"&amp;""", 'Original Data'!S40*GOOGLEFINANCE(""Currency:GBPEUR""),
IF($D40=""Iene"",'Original Data'!S40*GOOGLEFINANCE(""Currency:JPYEUR""),
IF($D40=""HKD"",'Original Data'!S40*GOOGLEFINANCE(""Currency:HKDEUR""),
IF($D40=""KRW"",'Original Data'!S40*GOOGLEFINANCE("&amp;"""Currency:KRWEUR""),""""))))))))"),1.679)</f>
        <v>1.679</v>
      </c>
      <c r="T40" s="8">
        <f>IFERROR(__xludf.DUMMYFUNCTION("IF('Original Data'!T40=""-"",""-"",
IF($D40=""Euro"",'Original Data'!T40,
IF($D40=""Dolar"",'Original Data'!T40*GOOGLEFINANCE(""Currency:USDEUR""),
IF($D40=""Franco Suíço"",'Original Data'!T40*GOOGLEFINANCE(""Currency:CHFEUR""),
IF($D40=""Libra Esterlina"&amp;""", 'Original Data'!T40*GOOGLEFINANCE(""Currency:GBPEUR""),
IF($D40=""Iene"",'Original Data'!T40*GOOGLEFINANCE(""Currency:JPYEUR""),
IF($D40=""HKD"",'Original Data'!T40*GOOGLEFINANCE(""Currency:HKDEUR""),
IF($D40=""KRW"",'Original Data'!T40*GOOGLEFINANCE("&amp;"""Currency:KRWEUR""),""""))))))))"),1.813)</f>
        <v>1.813</v>
      </c>
      <c r="U40" s="8">
        <f>IFERROR(__xludf.DUMMYFUNCTION("IF('Original Data'!U40=""-"",""-"",
IF($D40=""Euro"",'Original Data'!U40,
IF($D40=""Dolar"",'Original Data'!U40*GOOGLEFINANCE(""Currency:USDEUR""),
IF($D40=""Franco Suíço"",'Original Data'!U40*GOOGLEFINANCE(""Currency:CHFEUR""),
IF($D40=""Libra Esterlina"&amp;""", 'Original Data'!U40*GOOGLEFINANCE(""Currency:GBPEUR""),
IF($D40=""Iene"",'Original Data'!U40*GOOGLEFINANCE(""Currency:JPYEUR""),
IF($D40=""HKD"",'Original Data'!U40*GOOGLEFINANCE(""Currency:HKDEUR""),
IF($D40=""KRW"",'Original Data'!U40*GOOGLEFINANCE("&amp;"""Currency:KRWEUR""),""""))))))))"),2.025)</f>
        <v>2.025</v>
      </c>
      <c r="V40" s="8">
        <f>IFERROR(__xludf.DUMMYFUNCTION("IF('Original Data'!V40=""-"",""-"",
IF($D40=""Euro"",'Original Data'!V40,
IF($D40=""Dolar"",'Original Data'!V40*GOOGLEFINANCE(""Currency:USDEUR""),
IF($D40=""Franco Suíço"",'Original Data'!V40*GOOGLEFINANCE(""Currency:CHFEUR""),
IF($D40=""Libra Esterlina"&amp;""", 'Original Data'!V40*GOOGLEFINANCE(""Currency:GBPEUR""),
IF($D40=""Iene"",'Original Data'!V40*GOOGLEFINANCE(""Currency:JPYEUR""),
IF($D40=""HKD"",'Original Data'!V40*GOOGLEFINANCE(""Currency:HKDEUR""),
IF($D40=""KRW"",'Original Data'!V40*GOOGLEFINANCE("&amp;"""Currency:KRWEUR""),""""))))))))"),2.043)</f>
        <v>2.043</v>
      </c>
      <c r="W40" s="7" t="s">
        <v>43</v>
      </c>
      <c r="X40" s="7" t="s">
        <v>43</v>
      </c>
      <c r="Y40" s="7" t="s">
        <v>41</v>
      </c>
      <c r="Z40" s="7" t="s">
        <v>41</v>
      </c>
      <c r="AA40" s="7" t="s">
        <v>41</v>
      </c>
      <c r="AB40" s="7" t="s">
        <v>41</v>
      </c>
      <c r="AC40" s="7">
        <v>14.0</v>
      </c>
      <c r="AD40" s="7">
        <v>1.7</v>
      </c>
      <c r="AE40" s="7">
        <v>4.5</v>
      </c>
      <c r="AF40" s="7">
        <v>7.8</v>
      </c>
      <c r="AG40" s="7">
        <v>2.0</v>
      </c>
    </row>
    <row r="41">
      <c r="A41" s="16" t="s">
        <v>162</v>
      </c>
      <c r="B41" s="16" t="s">
        <v>163</v>
      </c>
      <c r="C41" s="16" t="s">
        <v>164</v>
      </c>
      <c r="D41" s="7" t="s">
        <v>40</v>
      </c>
      <c r="E41" s="8">
        <f>IFERROR(__xludf.DUMMYFUNCTION("IF($D41=""Euro"",'Original Data'!E41,
IF($D41=""Dolar"",'Original Data'!E41*GOOGLEFINANCE(""Currency:USDEUR""),
IF($D41=""Franco Suíço"",'Original Data'!E41*GOOGLEFINANCE(""Currency:CHFEUR""),
IF($D41=""Libra Esterlina"", 'Original Data'!E41*GOOGLEFINANCE"&amp;"(""Currency:GBPEUR""),
IF($D41=""Iene"",'Original Data'!E41*GOOGLEFINANCE(""Currency:JPYEUR""),
IF($D41=""HKD"",'Original Data'!E41*GOOGLEFINANCE(""Currency:HKDEUR""),
IF($D41=""KRW"",'Original Data'!E41*GOOGLEFINANCE(""Currency:KRWEUR""),"""")))))))"),8.50075)</f>
        <v>8.50075</v>
      </c>
      <c r="F41" s="8">
        <f>IFERROR(__xludf.DUMMYFUNCTION("IF($D41=""Euro"",'Original Data'!F41,
IF($D41=""Dolar"",'Original Data'!F41*GOOGLEFINANCE(""Currency:USDEUR""),
IF($D41=""Franco Suíço"",'Original Data'!F41*GOOGLEFINANCE(""Currency:CHFEUR""),
IF($D41=""Libra Esterlina"", 'Original Data'!F41*GOOGLEFINANCE"&amp;"(""Currency:GBPEUR""),
IF($D41=""Iene"",'Original Data'!F41*GOOGLEFINANCE(""Currency:JPYEUR""),
IF($D41=""HKD"",'Original Data'!F41*GOOGLEFINANCE(""Currency:HKDEUR""),
IF($D41=""KRW"",'Original Data'!F41*GOOGLEFINANCE(""Currency:KRWEUR""),"""")))))))"),87.93910999999999)</f>
        <v>87.93911</v>
      </c>
      <c r="G41" s="8">
        <f>IFERROR(__xludf.DUMMYFUNCTION("IF($D41=""Euro"",'Original Data'!G41,
IF($D41=""Dolar"",'Original Data'!G41*GOOGLEFINANCE(""Currency:USDEUR""),
IF($D41=""Franco Suíço"",'Original Data'!G41*GOOGLEFINANCE(""Currency:CHFEUR""),
IF($D41=""Libra Esterlina"", 'Original Data'!G41*GOOGLEFINANCE"&amp;"(""Currency:GBPEUR""),
IF($D41=""Iene"",'Original Data'!G41*GOOGLEFINANCE(""Currency:JPYEUR""),
IF($D41=""HKD"",'Original Data'!G41*GOOGLEFINANCE(""Currency:HKDEUR""),
IF($D41=""KRW"",'Original Data'!G41*GOOGLEFINANCE(""Currency:KRWEUR""),"""")))))))"),16.32144)</f>
        <v>16.32144</v>
      </c>
      <c r="H41" s="17">
        <v>1.16</v>
      </c>
      <c r="I41" s="7">
        <v>32.39</v>
      </c>
      <c r="J41" s="9">
        <v>0.0053</v>
      </c>
      <c r="K41" s="9">
        <v>0.0355</v>
      </c>
      <c r="L41" s="9">
        <v>0.0288</v>
      </c>
      <c r="M41" s="9">
        <v>0.0585</v>
      </c>
      <c r="N41" s="8">
        <f>IFERROR(__xludf.DUMMYFUNCTION("IF('Original Data'!N41=""-"",""-"",
IF($D41=""Euro"",'Original Data'!N41,
IF($D41=""Dolar"",'Original Data'!N41*GOOGLEFINANCE(""Currency:USDEUR""),
IF($D41=""Franco Suíço"",'Original Data'!N41*GOOGLEFINANCE(""Currency:CHFEUR""),
IF($D41=""Libra Esterlina"&amp;""", 'Original Data'!N41*GOOGLEFINANCE(""Currency:GBPEUR""),
IF($D41=""Iene"",'Original Data'!N41*GOOGLEFINANCE(""Currency:JPYEUR""),
IF($D41=""HKD"",'Original Data'!N41*GOOGLEFINANCE(""Currency:HKDEUR""),
IF($D41=""KRW"",'Original Data'!N41*GOOGLEFINANCE("&amp;"""Currency:KRWEUR""),""""))))))))"),2.7202399999999995)</f>
        <v>2.72024</v>
      </c>
      <c r="O41" s="8">
        <f>IFERROR(__xludf.DUMMYFUNCTION("IF('Original Data'!O41=""-"",""-"",
IF($D41=""Euro"",'Original Data'!O41,
IF($D41=""Dolar"",'Original Data'!O41*GOOGLEFINANCE(""Currency:USDEUR""),
IF($D41=""Franco Suíço"",'Original Data'!O41*GOOGLEFINANCE(""Currency:CHFEUR""),
IF($D41=""Libra Esterlina"&amp;""", 'Original Data'!O41*GOOGLEFINANCE(""Currency:GBPEUR""),
IF($D41=""Iene"",'Original Data'!O41*GOOGLEFINANCE(""Currency:JPYEUR""),
IF($D41=""HKD"",'Original Data'!O41*GOOGLEFINANCE(""Currency:HKDEUR""),
IF($D41=""KRW"",'Original Data'!O41*GOOGLEFINANCE("&amp;"""Currency:KRWEUR""),""""))))))))"),4.00684)</f>
        <v>4.00684</v>
      </c>
      <c r="P41" s="8">
        <f>IFERROR(__xludf.DUMMYFUNCTION("IF('Original Data'!P41=""-"",""-"",
IF($D41=""Euro"",'Original Data'!P41,
IF($D41=""Dolar"",'Original Data'!P41*GOOGLEFINANCE(""Currency:USDEUR""),
IF($D41=""Franco Suíço"",'Original Data'!P41*GOOGLEFINANCE(""Currency:CHFEUR""),
IF($D41=""Libra Esterlina"&amp;""", 'Original Data'!P41*GOOGLEFINANCE(""Currency:GBPEUR""),
IF($D41=""Iene"",'Original Data'!P41*GOOGLEFINANCE(""Currency:JPYEUR""),
IF($D41=""HKD"",'Original Data'!P41*GOOGLEFINANCE(""Currency:HKDEUR""),
IF($D41=""KRW"",'Original Data'!P41*GOOGLEFINANCE("&amp;"""Currency:KRWEUR""),""""))))))))"),7.535799999999999)</f>
        <v>7.5358</v>
      </c>
      <c r="Q41" s="8">
        <f>IFERROR(__xludf.DUMMYFUNCTION("IF('Original Data'!Q41=""-"",""-"",
IF($D41=""Euro"",'Original Data'!Q41,
IF($D41=""Dolar"",'Original Data'!Q41*GOOGLEFINANCE(""Currency:USDEUR""),
IF($D41=""Franco Suíço"",'Original Data'!Q41*GOOGLEFINANCE(""Currency:CHFEUR""),
IF($D41=""Libra Esterlina"&amp;""", 'Original Data'!Q41*GOOGLEFINANCE(""Currency:GBPEUR""),
IF($D41=""Iene"",'Original Data'!Q41*GOOGLEFINANCE(""Currency:JPYEUR""),
IF($D41=""HKD"",'Original Data'!Q41*GOOGLEFINANCE(""Currency:HKDEUR""),
IF($D41=""KRW"",'Original Data'!Q41*GOOGLEFINANCE("&amp;"""Currency:KRWEUR""),""""))))))))"),6.947639999999999)</f>
        <v>6.94764</v>
      </c>
      <c r="R41" s="8">
        <f>IFERROR(__xludf.DUMMYFUNCTION("IF('Original Data'!R41=""-"",""-"",
IF($D41=""Euro"",'Original Data'!R41,
IF($D41=""Dolar"",'Original Data'!R41*GOOGLEFINANCE(""Currency:USDEUR""),
IF($D41=""Franco Suíço"",'Original Data'!R41*GOOGLEFINANCE(""Currency:CHFEUR""),
IF($D41=""Libra Esterlina"&amp;""", 'Original Data'!R41*GOOGLEFINANCE(""Currency:GBPEUR""),
IF($D41=""Iene"",'Original Data'!R41*GOOGLEFINANCE(""Currency:JPYEUR""),
IF($D41=""HKD"",'Original Data'!R41*GOOGLEFINANCE(""Currency:HKDEUR""),
IF($D41=""KRW"",'Original Data'!R41*GOOGLEFINANCE("&amp;"""Currency:KRWEUR""),""""))))))))"),7.186579999999999)</f>
        <v>7.18658</v>
      </c>
      <c r="S41" s="8">
        <f>IFERROR(__xludf.DUMMYFUNCTION("IF('Original Data'!S41=""-"",""-"",
IF($D41=""Euro"",'Original Data'!S41,
IF($D41=""Dolar"",'Original Data'!S41*GOOGLEFINANCE(""Currency:USDEUR""),
IF($D41=""Franco Suíço"",'Original Data'!S41*GOOGLEFINANCE(""Currency:CHFEUR""),
IF($D41=""Libra Esterlina"&amp;""", 'Original Data'!S41*GOOGLEFINANCE(""Currency:GBPEUR""),
IF($D41=""Iene"",'Original Data'!S41*GOOGLEFINANCE(""Currency:JPYEUR""),
IF($D41=""HKD"",'Original Data'!S41*GOOGLEFINANCE(""Currency:HKDEUR""),
IF($D41=""KRW"",'Original Data'!S41*GOOGLEFINANCE("&amp;"""Currency:KRWEUR""),""""))))))))"),0.60647567)</f>
        <v>0.60647567</v>
      </c>
      <c r="T41" s="8">
        <f>IFERROR(__xludf.DUMMYFUNCTION("IF('Original Data'!T41=""-"",""-"",
IF($D41=""Euro"",'Original Data'!T41,
IF($D41=""Dolar"",'Original Data'!T41*GOOGLEFINANCE(""Currency:USDEUR""),
IF($D41=""Franco Suíço"",'Original Data'!T41*GOOGLEFINANCE(""Currency:CHFEUR""),
IF($D41=""Libra Esterlina"&amp;""", 'Original Data'!T41*GOOGLEFINANCE(""Currency:GBPEUR""),
IF($D41=""Iene"",'Original Data'!T41*GOOGLEFINANCE(""Currency:JPYEUR""),
IF($D41=""HKD"",'Original Data'!T41*GOOGLEFINANCE(""Currency:HKDEUR""),
IF($D41=""KRW"",'Original Data'!T41*GOOGLEFINANCE("&amp;"""Currency:KRWEUR""),""""))))))))"),1.22227)</f>
        <v>1.22227</v>
      </c>
      <c r="U41" s="8">
        <f>IFERROR(__xludf.DUMMYFUNCTION("IF('Original Data'!U41=""-"",""-"",
IF($D41=""Euro"",'Original Data'!U41,
IF($D41=""Dolar"",'Original Data'!U41*GOOGLEFINANCE(""Currency:USDEUR""),
IF($D41=""Franco Suíço"",'Original Data'!U41*GOOGLEFINANCE(""Currency:CHFEUR""),
IF($D41=""Libra Esterlina"&amp;""", 'Original Data'!U41*GOOGLEFINANCE(""Currency:GBPEUR""),
IF($D41=""Iene"",'Original Data'!U41*GOOGLEFINANCE(""Currency:JPYEUR""),
IF($D41=""HKD"",'Original Data'!U41*GOOGLEFINANCE(""Currency:HKDEUR""),
IF($D41=""KRW"",'Original Data'!U41*GOOGLEFINANCE("&amp;"""Currency:KRWEUR""),""""))))))))"),1.22227)</f>
        <v>1.22227</v>
      </c>
      <c r="V41" s="8">
        <f>IFERROR(__xludf.DUMMYFUNCTION("IF('Original Data'!V41=""-"",""-"",
IF($D41=""Euro"",'Original Data'!V41,
IF($D41=""Dolar"",'Original Data'!V41*GOOGLEFINANCE(""Currency:USDEUR""),
IF($D41=""Franco Suíço"",'Original Data'!V41*GOOGLEFINANCE(""Currency:CHFEUR""),
IF($D41=""Libra Esterlina"&amp;""", 'Original Data'!V41*GOOGLEFINANCE(""Currency:GBPEUR""),
IF($D41=""Iene"",'Original Data'!V41*GOOGLEFINANCE(""Currency:JPYEUR""),
IF($D41=""HKD"",'Original Data'!V41*GOOGLEFINANCE(""Currency:HKDEUR""),
IF($D41=""KRW"",'Original Data'!V41*GOOGLEFINANCE("&amp;"""Currency:KRWEUR""),""""))))))))"),1.33255)</f>
        <v>1.33255</v>
      </c>
      <c r="W41" s="7" t="s">
        <v>55</v>
      </c>
      <c r="X41" s="7" t="s">
        <v>43</v>
      </c>
      <c r="Y41" s="7" t="s">
        <v>41</v>
      </c>
      <c r="Z41" s="7" t="s">
        <v>41</v>
      </c>
      <c r="AA41" s="7" t="s">
        <v>41</v>
      </c>
      <c r="AB41" s="7" t="s">
        <v>41</v>
      </c>
      <c r="AC41" s="7">
        <v>32.0</v>
      </c>
      <c r="AD41" s="7">
        <v>10.4</v>
      </c>
      <c r="AE41" s="7">
        <v>14.1</v>
      </c>
      <c r="AF41" s="7">
        <v>7.7</v>
      </c>
      <c r="AG41" s="7">
        <v>1.0</v>
      </c>
    </row>
    <row r="42">
      <c r="A42" s="16" t="s">
        <v>165</v>
      </c>
      <c r="B42" s="16" t="s">
        <v>166</v>
      </c>
      <c r="C42" s="16" t="s">
        <v>167</v>
      </c>
      <c r="D42" s="7" t="s">
        <v>146</v>
      </c>
      <c r="E42" s="8">
        <f>IFERROR(__xludf.DUMMYFUNCTION("IF($D42=""Euro"",'Original Data'!E42,
IF($D42=""Dolar"",'Original Data'!E42*GOOGLEFINANCE(""Currency:USDEUR""),
IF($D42=""Franco Suíço"",'Original Data'!E42*GOOGLEFINANCE(""Currency:CHFEUR""),
IF($D42=""Libra Esterlina"", 'Original Data'!E42*GOOGLEFINANCE"&amp;"(""Currency:GBPEUR""),
IF($D42=""Iene"",'Original Data'!E42*GOOGLEFINANCE(""Currency:JPYEUR""),
IF($D42=""HKD"",'Original Data'!E42*GOOGLEFINANCE(""Currency:HKDEUR""),
IF($D42=""KRW"",'Original Data'!E42*GOOGLEFINANCE(""Currency:KRWEUR""),"""")))))))"),3.6021255416999995)</f>
        <v>3.602125542</v>
      </c>
      <c r="F42" s="8">
        <f>IFERROR(__xludf.DUMMYFUNCTION("IF($D42=""Euro"",'Original Data'!F42,
IF($D42=""Dolar"",'Original Data'!F42*GOOGLEFINANCE(""Currency:USDEUR""),
IF($D42=""Franco Suíço"",'Original Data'!F42*GOOGLEFINANCE(""Currency:CHFEUR""),
IF($D42=""Libra Esterlina"", 'Original Data'!F42*GOOGLEFINANCE"&amp;"(""Currency:GBPEUR""),
IF($D42=""Iene"",'Original Data'!F42*GOOGLEFINANCE(""Currency:JPYEUR""),
IF($D42=""HKD"",'Original Data'!F42*GOOGLEFINANCE(""Currency:HKDEUR""),
IF($D42=""KRW"",'Original Data'!F42*GOOGLEFINANCE(""Currency:KRWEUR""),"""")))))))"),21.683165169225)</f>
        <v>21.68316517</v>
      </c>
      <c r="G42" s="8">
        <f>IFERROR(__xludf.DUMMYFUNCTION("IF($D42=""Euro"",'Original Data'!G42,
IF($D42=""Dolar"",'Original Data'!G42*GOOGLEFINANCE(""Currency:USDEUR""),
IF($D42=""Franco Suíço"",'Original Data'!G42*GOOGLEFINANCE(""Currency:CHFEUR""),
IF($D42=""Libra Esterlina"", 'Original Data'!G42*GOOGLEFINANCE"&amp;"(""Currency:GBPEUR""),
IF($D42=""Iene"",'Original Data'!G42*GOOGLEFINANCE(""Currency:JPYEUR""),
IF($D42=""HKD"",'Original Data'!G42*GOOGLEFINANCE(""Currency:HKDEUR""),
IF($D42=""KRW"",'Original Data'!G42*GOOGLEFINANCE(""Currency:KRWEUR""),"""")))))))"),20.975340088499998)</f>
        <v>20.97534009</v>
      </c>
      <c r="H42" s="17">
        <v>3.296</v>
      </c>
      <c r="I42" s="7">
        <v>14.46</v>
      </c>
      <c r="J42" s="9">
        <v>0.0279</v>
      </c>
      <c r="K42" s="9">
        <v>0.0766</v>
      </c>
      <c r="L42" s="9">
        <v>0.0526</v>
      </c>
      <c r="M42" s="9">
        <v>0.0967</v>
      </c>
      <c r="N42" s="8">
        <f>IFERROR(__xludf.DUMMYFUNCTION("IF('Original Data'!N42=""-"",""-"",
IF($D42=""Euro"",'Original Data'!N42,
IF($D42=""Dolar"",'Original Data'!N42*GOOGLEFINANCE(""Currency:USDEUR""),
IF($D42=""Franco Suíço"",'Original Data'!N42*GOOGLEFINANCE(""Currency:CHFEUR""),
IF($D42=""Libra Esterlina"&amp;""", 'Original Data'!N42*GOOGLEFINANCE(""Currency:GBPEUR""),
IF($D42=""Iene"",'Original Data'!N42*GOOGLEFINANCE(""Currency:JPYEUR""),
IF($D42=""HKD"",'Original Data'!N42*GOOGLEFINANCE(""Currency:HKDEUR""),
IF($D42=""KRW"",'Original Data'!N42*GOOGLEFINANCE("&amp;"""Currency:KRWEUR""),""""))))))))"),0.8339735924939999)</f>
        <v>0.8339735925</v>
      </c>
      <c r="O42" s="8">
        <f>IFERROR(__xludf.DUMMYFUNCTION("IF('Original Data'!O42=""-"",""-"",
IF($D42=""Euro"",'Original Data'!O42,
IF($D42=""Dolar"",'Original Data'!O42*GOOGLEFINANCE(""Currency:USDEUR""),
IF($D42=""Franco Suíço"",'Original Data'!O42*GOOGLEFINANCE(""Currency:CHFEUR""),
IF($D42=""Libra Esterlina"&amp;""", 'Original Data'!O42*GOOGLEFINANCE(""Currency:GBPEUR""),
IF($D42=""Iene"",'Original Data'!O42*GOOGLEFINANCE(""Currency:JPYEUR""),
IF($D42=""HKD"",'Original Data'!O42*GOOGLEFINANCE(""Currency:HKDEUR""),
IF($D42=""KRW"",'Original Data'!O42*GOOGLEFINANCE("&amp;"""Currency:KRWEUR""),""""))))))))"),18.529452374999998)</f>
        <v>18.52945238</v>
      </c>
      <c r="P42" s="8">
        <f>IFERROR(__xludf.DUMMYFUNCTION("IF('Original Data'!P42=""-"",""-"",
IF($D42=""Euro"",'Original Data'!P42,
IF($D42=""Dolar"",'Original Data'!P42*GOOGLEFINANCE(""Currency:USDEUR""),
IF($D42=""Franco Suíço"",'Original Data'!P42*GOOGLEFINANCE(""Currency:CHFEUR""),
IF($D42=""Libra Esterlina"&amp;""", 'Original Data'!P42*GOOGLEFINANCE(""Currency:GBPEUR""),
IF($D42=""Iene"",'Original Data'!P42*GOOGLEFINANCE(""Currency:JPYEUR""),
IF($D42=""HKD"",'Original Data'!P42*GOOGLEFINANCE(""Currency:HKDEUR""),
IF($D42=""KRW"",'Original Data'!P42*GOOGLEFINANCE("&amp;"""Currency:KRWEUR""),""""))))))))"),20.2341619935)</f>
        <v>20.23416199</v>
      </c>
      <c r="Q42" s="8">
        <f>IFERROR(__xludf.DUMMYFUNCTION("IF('Original Data'!Q42=""-"",""-"",
IF($D42=""Euro"",'Original Data'!Q42,
IF($D42=""Dolar"",'Original Data'!Q42*GOOGLEFINANCE(""Currency:USDEUR""),
IF($D42=""Franco Suíço"",'Original Data'!Q42*GOOGLEFINANCE(""Currency:CHFEUR""),
IF($D42=""Libra Esterlina"&amp;""", 'Original Data'!Q42*GOOGLEFINANCE(""Currency:GBPEUR""),
IF($D42=""Iene"",'Original Data'!Q42*GOOGLEFINANCE(""Currency:JPYEUR""),
IF($D42=""HKD"",'Original Data'!Q42*GOOGLEFINANCE(""Currency:HKDEUR""),
IF($D42=""KRW"",'Original Data'!Q42*GOOGLEFINANCE("&amp;"""Currency:KRWEUR""),""""))))))))"),18.084745518)</f>
        <v>18.08474552</v>
      </c>
      <c r="R42" s="8">
        <f>IFERROR(__xludf.DUMMYFUNCTION("IF('Original Data'!R42=""-"",""-"",
IF($D42=""Euro"",'Original Data'!R42,
IF($D42=""Dolar"",'Original Data'!R42*GOOGLEFINANCE(""Currency:USDEUR""),
IF($D42=""Franco Suíço"",'Original Data'!R42*GOOGLEFINANCE(""Currency:CHFEUR""),
IF($D42=""Libra Esterlina"&amp;""", 'Original Data'!R42*GOOGLEFINANCE(""Currency:GBPEUR""),
IF($D42=""Iene"",'Original Data'!R42*GOOGLEFINANCE(""Currency:JPYEUR""),
IF($D42=""HKD"",'Original Data'!R42*GOOGLEFINANCE(""Currency:HKDEUR""),
IF($D42=""KRW"",'Original Data'!R42*GOOGLEFINANCE("&amp;"""Currency:KRWEUR""),""""))))))))"),16.2318002805)</f>
        <v>16.23180028</v>
      </c>
      <c r="S42" s="8">
        <f>IFERROR(__xludf.DUMMYFUNCTION("IF('Original Data'!S42=""-"",""-"",
IF($D42=""Euro"",'Original Data'!S42,
IF($D42=""Dolar"",'Original Data'!S42*GOOGLEFINANCE(""Currency:USDEUR""),
IF($D42=""Franco Suíço"",'Original Data'!S42*GOOGLEFINANCE(""Currency:CHFEUR""),
IF($D42=""Libra Esterlina"&amp;""", 'Original Data'!S42*GOOGLEFINANCE(""Currency:GBPEUR""),
IF($D42=""Iene"",'Original Data'!S42*GOOGLEFINANCE(""Currency:JPYEUR""),
IF($D42=""HKD"",'Original Data'!S42*GOOGLEFINANCE(""Currency:HKDEUR""),
IF($D42=""KRW"",'Original Data'!S42*GOOGLEFINANCE("&amp;"""Currency:KRWEUR""),""""))))))))"),3.2161941076334997)</f>
        <v>3.216194108</v>
      </c>
      <c r="T42" s="8">
        <f>IFERROR(__xludf.DUMMYFUNCTION("IF('Original Data'!T42=""-"",""-"",
IF($D42=""Euro"",'Original Data'!T42,
IF($D42=""Dolar"",'Original Data'!T42*GOOGLEFINANCE(""Currency:USDEUR""),
IF($D42=""Franco Suíço"",'Original Data'!T42*GOOGLEFINANCE(""Currency:CHFEUR""),
IF($D42=""Libra Esterlina"&amp;""", 'Original Data'!T42*GOOGLEFINANCE(""Currency:GBPEUR""),
IF($D42=""Iene"",'Original Data'!T42*GOOGLEFINANCE(""Currency:JPYEUR""),
IF($D42=""HKD"",'Original Data'!T42*GOOGLEFINANCE(""Currency:HKDEUR""),
IF($D42=""KRW"",'Original Data'!T42*GOOGLEFINANCE("&amp;"""Currency:KRWEUR""),""""))))))))"),3.9349886241644993)</f>
        <v>3.934988624</v>
      </c>
      <c r="U42" s="8">
        <f>IFERROR(__xludf.DUMMYFUNCTION("IF('Original Data'!U42=""-"",""-"",
IF($D42=""Euro"",'Original Data'!U42,
IF($D42=""Dolar"",'Original Data'!U42*GOOGLEFINANCE(""Currency:USDEUR""),
IF($D42=""Franco Suíço"",'Original Data'!U42*GOOGLEFINANCE(""Currency:CHFEUR""),
IF($D42=""Libra Esterlina"&amp;""", 'Original Data'!U42*GOOGLEFINANCE(""Currency:GBPEUR""),
IF($D42=""Iene"",'Original Data'!U42*GOOGLEFINANCE(""Currency:JPYEUR""),
IF($D42=""HKD"",'Original Data'!U42*GOOGLEFINANCE(""Currency:HKDEUR""),
IF($D42=""KRW"",'Original Data'!U42*GOOGLEFINANCE("&amp;"""Currency:KRWEUR""),""""))))))))"),2.8568709671774997)</f>
        <v>2.856870967</v>
      </c>
      <c r="V42" s="8">
        <f>IFERROR(__xludf.DUMMYFUNCTION("IF('Original Data'!V42=""-"",""-"",
IF($D42=""Euro"",'Original Data'!V42,
IF($D42=""Dolar"",'Original Data'!V42*GOOGLEFINANCE(""Currency:USDEUR""),
IF($D42=""Franco Suíço"",'Original Data'!V42*GOOGLEFINANCE(""Currency:CHFEUR""),
IF($D42=""Libra Esterlina"&amp;""", 'Original Data'!V42*GOOGLEFINANCE(""Currency:GBPEUR""),
IF($D42=""Iene"",'Original Data'!V42*GOOGLEFINANCE(""Currency:JPYEUR""),
IF($D42=""HKD"",'Original Data'!V42*GOOGLEFINANCE(""Currency:HKDEUR""),
IF($D42=""KRW"",'Original Data'!V42*GOOGLEFINANCE("&amp;"""Currency:KRWEUR""),""""))))))))"),2.2535519978475)</f>
        <v>2.253551998</v>
      </c>
      <c r="W42" s="7" t="s">
        <v>34</v>
      </c>
      <c r="X42" s="7" t="s">
        <v>34</v>
      </c>
      <c r="Y42" s="7" t="s">
        <v>41</v>
      </c>
      <c r="Z42" s="7" t="s">
        <v>41</v>
      </c>
      <c r="AA42" s="7" t="s">
        <v>34</v>
      </c>
      <c r="AB42" s="7" t="s">
        <v>34</v>
      </c>
      <c r="AC42" s="7">
        <v>26.0</v>
      </c>
      <c r="AD42" s="7">
        <v>5.3</v>
      </c>
      <c r="AE42" s="7">
        <v>11.5</v>
      </c>
      <c r="AF42" s="7">
        <v>8.9</v>
      </c>
      <c r="AG42" s="7">
        <v>2.0</v>
      </c>
    </row>
    <row r="43">
      <c r="A43" s="16" t="s">
        <v>168</v>
      </c>
      <c r="B43" s="16" t="s">
        <v>169</v>
      </c>
      <c r="C43" s="16" t="s">
        <v>170</v>
      </c>
      <c r="D43" s="7" t="s">
        <v>33</v>
      </c>
      <c r="E43" s="8">
        <f>IFERROR(__xludf.DUMMYFUNCTION("IF($D43=""Euro"",'Original Data'!E43,
IF($D43=""Dolar"",'Original Data'!E43*GOOGLEFINANCE(""Currency:USDEUR""),
IF($D43=""Franco Suíço"",'Original Data'!E43*GOOGLEFINANCE(""Currency:CHFEUR""),
IF($D43=""Libra Esterlina"", 'Original Data'!E43*GOOGLEFINANCE"&amp;"(""Currency:GBPEUR""),
IF($D43=""Iene"",'Original Data'!E43*GOOGLEFINANCE(""Currency:JPYEUR""),
IF($D43=""HKD"",'Original Data'!E43*GOOGLEFINANCE(""Currency:HKDEUR""),
IF($D43=""KRW"",'Original Data'!E43*GOOGLEFINANCE(""Currency:KRWEUR""),"""")))))))"),15.42)</f>
        <v>15.42</v>
      </c>
      <c r="F43" s="8">
        <f>IFERROR(__xludf.DUMMYFUNCTION("IF($D43=""Euro"",'Original Data'!F43,
IF($D43=""Dolar"",'Original Data'!F43*GOOGLEFINANCE(""Currency:USDEUR""),
IF($D43=""Franco Suíço"",'Original Data'!F43*GOOGLEFINANCE(""Currency:CHFEUR""),
IF($D43=""Libra Esterlina"", 'Original Data'!F43*GOOGLEFINANCE"&amp;"(""Currency:GBPEUR""),
IF($D43=""Iene"",'Original Data'!F43*GOOGLEFINANCE(""Currency:JPYEUR""),
IF($D43=""HKD"",'Original Data'!F43*GOOGLEFINANCE(""Currency:HKDEUR""),
IF($D43=""KRW"",'Original Data'!F43*GOOGLEFINANCE(""Currency:KRWEUR""),"""")))))))"),8.36)</f>
        <v>8.36</v>
      </c>
      <c r="G43" s="8">
        <f>IFERROR(__xludf.DUMMYFUNCTION("IF($D43=""Euro"",'Original Data'!G43,
IF($D43=""Dolar"",'Original Data'!G43*GOOGLEFINANCE(""Currency:USDEUR""),
IF($D43=""Franco Suíço"",'Original Data'!G43*GOOGLEFINANCE(""Currency:CHFEUR""),
IF($D43=""Libra Esterlina"", 'Original Data'!G43*GOOGLEFINANCE"&amp;"(""Currency:GBPEUR""),
IF($D43=""Iene"",'Original Data'!G43*GOOGLEFINANCE(""Currency:JPYEUR""),
IF($D43=""HKD"",'Original Data'!G43*GOOGLEFINANCE(""Currency:HKDEUR""),
IF($D43=""KRW"",'Original Data'!G43*GOOGLEFINANCE(""Currency:KRWEUR""),"""")))))))"),0.369)</f>
        <v>0.369</v>
      </c>
      <c r="H43" s="17">
        <v>0.1485</v>
      </c>
      <c r="I43" s="7">
        <v>10.06</v>
      </c>
      <c r="J43" s="7" t="s">
        <v>41</v>
      </c>
      <c r="K43" s="9">
        <v>0.0479</v>
      </c>
      <c r="L43" s="9">
        <v>0.038</v>
      </c>
      <c r="M43" s="9">
        <v>0.11</v>
      </c>
      <c r="N43" s="8">
        <f>IFERROR(__xludf.DUMMYFUNCTION("IF('Original Data'!N43=""-"",""-"",
IF($D43=""Euro"",'Original Data'!N43,
IF($D43=""Dolar"",'Original Data'!N43*GOOGLEFINANCE(""Currency:USDEUR""),
IF($D43=""Franco Suíço"",'Original Data'!N43*GOOGLEFINANCE(""Currency:CHFEUR""),
IF($D43=""Libra Esterlina"&amp;""", 'Original Data'!N43*GOOGLEFINANCE(""Currency:GBPEUR""),
IF($D43=""Iene"",'Original Data'!N43*GOOGLEFINANCE(""Currency:JPYEUR""),
IF($D43=""HKD"",'Original Data'!N43*GOOGLEFINANCE(""Currency:HKDEUR""),
IF($D43=""KRW"",'Original Data'!N43*GOOGLEFINANCE("&amp;"""Currency:KRWEUR""),""""))))))))"),0.81)</f>
        <v>0.81</v>
      </c>
      <c r="O43" s="8">
        <f>IFERROR(__xludf.DUMMYFUNCTION("IF('Original Data'!O43=""-"",""-"",
IF($D43=""Euro"",'Original Data'!O43,
IF($D43=""Dolar"",'Original Data'!O43*GOOGLEFINANCE(""Currency:USDEUR""),
IF($D43=""Franco Suíço"",'Original Data'!O43*GOOGLEFINANCE(""Currency:CHFEUR""),
IF($D43=""Libra Esterlina"&amp;""", 'Original Data'!O43*GOOGLEFINANCE(""Currency:GBPEUR""),
IF($D43=""Iene"",'Original Data'!O43*GOOGLEFINANCE(""Currency:JPYEUR""),
IF($D43=""HKD"",'Original Data'!O43*GOOGLEFINANCE(""Currency:HKDEUR""),
IF($D43=""KRW"",'Original Data'!O43*GOOGLEFINANCE("&amp;"""Currency:KRWEUR""),""""))))))))"),1.3)</f>
        <v>1.3</v>
      </c>
      <c r="P43" s="8">
        <f>IFERROR(__xludf.DUMMYFUNCTION("IF('Original Data'!P43=""-"",""-"",
IF($D43=""Euro"",'Original Data'!P43,
IF($D43=""Dolar"",'Original Data'!P43*GOOGLEFINANCE(""Currency:USDEUR""),
IF($D43=""Franco Suíço"",'Original Data'!P43*GOOGLEFINANCE(""Currency:CHFEUR""),
IF($D43=""Libra Esterlina"&amp;""", 'Original Data'!P43*GOOGLEFINANCE(""Currency:GBPEUR""),
IF($D43=""Iene"",'Original Data'!P43*GOOGLEFINANCE(""Currency:JPYEUR""),
IF($D43=""HKD"",'Original Data'!P43*GOOGLEFINANCE(""Currency:HKDEUR""),
IF($D43=""KRW"",'Original Data'!P43*GOOGLEFINANCE("&amp;"""Currency:KRWEUR""),""""))))))))"),1.28)</f>
        <v>1.28</v>
      </c>
      <c r="Q43" s="8">
        <f>IFERROR(__xludf.DUMMYFUNCTION("IF('Original Data'!Q43=""-"",""-"",
IF($D43=""Euro"",'Original Data'!Q43,
IF($D43=""Dolar"",'Original Data'!Q43*GOOGLEFINANCE(""Currency:USDEUR""),
IF($D43=""Franco Suíço"",'Original Data'!Q43*GOOGLEFINANCE(""Currency:CHFEUR""),
IF($D43=""Libra Esterlina"&amp;""", 'Original Data'!Q43*GOOGLEFINANCE(""Currency:GBPEUR""),
IF($D43=""Iene"",'Original Data'!Q43*GOOGLEFINANCE(""Currency:JPYEUR""),
IF($D43=""HKD"",'Original Data'!Q43*GOOGLEFINANCE(""Currency:HKDEUR""),
IF($D43=""KRW"",'Original Data'!Q43*GOOGLEFINANCE("&amp;"""Currency:KRWEUR""),""""))))))))"),0.95952)</f>
        <v>0.95952</v>
      </c>
      <c r="R43" s="8">
        <f>IFERROR(__xludf.DUMMYFUNCTION("IF('Original Data'!R43=""-"",""-"",
IF($D43=""Euro"",'Original Data'!R43,
IF($D43=""Dolar"",'Original Data'!R43*GOOGLEFINANCE(""Currency:USDEUR""),
IF($D43=""Franco Suíço"",'Original Data'!R43*GOOGLEFINANCE(""Currency:CHFEUR""),
IF($D43=""Libra Esterlina"&amp;""", 'Original Data'!R43*GOOGLEFINANCE(""Currency:GBPEUR""),
IF($D43=""Iene"",'Original Data'!R43*GOOGLEFINANCE(""Currency:JPYEUR""),
IF($D43=""HKD"",'Original Data'!R43*GOOGLEFINANCE(""Currency:HKDEUR""),
IF($D43=""KRW"",'Original Data'!R43*GOOGLEFINANCE("&amp;"""Currency:KRWEUR""),""""))))))))"),1.25)</f>
        <v>1.25</v>
      </c>
      <c r="S43" s="8">
        <f>IFERROR(__xludf.DUMMYFUNCTION("IF('Original Data'!S43=""-"",""-"",
IF($D43=""Euro"",'Original Data'!S43,
IF($D43=""Dolar"",'Original Data'!S43*GOOGLEFINANCE(""Currency:USDEUR""),
IF($D43=""Franco Suíço"",'Original Data'!S43*GOOGLEFINANCE(""Currency:CHFEUR""),
IF($D43=""Libra Esterlina"&amp;""", 'Original Data'!S43*GOOGLEFINANCE(""Currency:GBPEUR""),
IF($D43=""Iene"",'Original Data'!S43*GOOGLEFINANCE(""Currency:JPYEUR""),
IF($D43=""HKD"",'Original Data'!S43*GOOGLEFINANCE(""Currency:HKDEUR""),
IF($D43=""KRW"",'Original Data'!S43*GOOGLEFINANCE("&amp;"""Currency:KRWEUR""),""""))))))))"),0.10507)</f>
        <v>0.10507</v>
      </c>
      <c r="T43" s="8">
        <f>IFERROR(__xludf.DUMMYFUNCTION("IF('Original Data'!T43=""-"",""-"",
IF($D43=""Euro"",'Original Data'!T43,
IF($D43=""Dolar"",'Original Data'!T43*GOOGLEFINANCE(""Currency:USDEUR""),
IF($D43=""Franco Suíço"",'Original Data'!T43*GOOGLEFINANCE(""Currency:CHFEUR""),
IF($D43=""Libra Esterlina"&amp;""", 'Original Data'!T43*GOOGLEFINANCE(""Currency:GBPEUR""),
IF($D43=""Iene"",'Original Data'!T43*GOOGLEFINANCE(""Currency:JPYEUR""),
IF($D43=""HKD"",'Original Data'!T43*GOOGLEFINANCE(""Currency:HKDEUR""),
IF($D43=""KRW"",'Original Data'!T43*GOOGLEFINANCE("&amp;"""Currency:KRWEUR""),""""))))))))"),0.11034)</f>
        <v>0.11034</v>
      </c>
      <c r="U43" s="8">
        <f>IFERROR(__xludf.DUMMYFUNCTION("IF('Original Data'!U43=""-"",""-"",
IF($D43=""Euro"",'Original Data'!U43,
IF($D43=""Dolar"",'Original Data'!U43*GOOGLEFINANCE(""Currency:USDEUR""),
IF($D43=""Franco Suíço"",'Original Data'!U43*GOOGLEFINANCE(""Currency:CHFEUR""),
IF($D43=""Libra Esterlina"&amp;""", 'Original Data'!U43*GOOGLEFINANCE(""Currency:GBPEUR""),
IF($D43=""Iene"",'Original Data'!U43*GOOGLEFINANCE(""Currency:JPYEUR""),
IF($D43=""HKD"",'Original Data'!U43*GOOGLEFINANCE(""Currency:HKDEUR""),
IF($D43=""KRW"",'Original Data'!U43*GOOGLEFINANCE("&amp;"""Currency:KRWEUR""),""""))))))))"),0.09519)</f>
        <v>0.09519</v>
      </c>
      <c r="V43" s="8">
        <f>IFERROR(__xludf.DUMMYFUNCTION("IF('Original Data'!V43=""-"",""-"",
IF($D43=""Euro"",'Original Data'!V43,
IF($D43=""Dolar"",'Original Data'!V43*GOOGLEFINANCE(""Currency:USDEUR""),
IF($D43=""Franco Suíço"",'Original Data'!V43*GOOGLEFINANCE(""Currency:CHFEUR""),
IF($D43=""Libra Esterlina"&amp;""", 'Original Data'!V43*GOOGLEFINANCE(""Currency:GBPEUR""),
IF($D43=""Iene"",'Original Data'!V43*GOOGLEFINANCE(""Currency:JPYEUR""),
IF($D43=""HKD"",'Original Data'!V43*GOOGLEFINANCE(""Currency:HKDEUR""),
IF($D43=""KRW"",'Original Data'!V43*GOOGLEFINANCE("&amp;"""Currency:KRWEUR""),""""))))))))"),0.12156)</f>
        <v>0.12156</v>
      </c>
      <c r="W43" s="7" t="s">
        <v>36</v>
      </c>
      <c r="X43" s="7" t="s">
        <v>114</v>
      </c>
      <c r="Y43" s="7" t="s">
        <v>41</v>
      </c>
      <c r="Z43" s="7" t="s">
        <v>41</v>
      </c>
      <c r="AA43" s="7" t="s">
        <v>41</v>
      </c>
      <c r="AB43" s="7" t="s">
        <v>41</v>
      </c>
      <c r="AC43" s="7" t="s">
        <v>41</v>
      </c>
      <c r="AD43" s="7" t="s">
        <v>41</v>
      </c>
      <c r="AE43" s="7" t="s">
        <v>41</v>
      </c>
      <c r="AF43" s="7" t="s">
        <v>41</v>
      </c>
      <c r="AG43" s="7" t="s">
        <v>41</v>
      </c>
    </row>
    <row r="44">
      <c r="A44" s="16" t="s">
        <v>171</v>
      </c>
      <c r="B44" s="16" t="s">
        <v>172</v>
      </c>
      <c r="C44" s="16" t="s">
        <v>173</v>
      </c>
      <c r="D44" s="7" t="s">
        <v>124</v>
      </c>
      <c r="E44" s="8">
        <f>IFERROR(__xludf.DUMMYFUNCTION("IF($D44=""Euro"",'Original Data'!E44,
IF($D44=""Dolar"",'Original Data'!E44*GOOGLEFINANCE(""Currency:USDEUR""),
IF($D44=""Franco Suíço"",'Original Data'!E44*GOOGLEFINANCE(""Currency:CHFEUR""),
IF($D44=""Libra Esterlina"", 'Original Data'!E44*GOOGLEFINANCE"&amp;"(""Currency:GBPEUR""),
IF($D44=""Iene"",'Original Data'!E44*GOOGLEFINANCE(""Currency:JPYEUR""),
IF($D44=""HKD"",'Original Data'!E44*GOOGLEFINANCE(""Currency:HKDEUR""),
IF($D44=""KRW"",'Original Data'!E44*GOOGLEFINANCE(""Currency:KRWEUR""),"""")))))))"),732.6230504800001)</f>
        <v>732.6230505</v>
      </c>
      <c r="F44" s="8">
        <f>IFERROR(__xludf.DUMMYFUNCTION("IF($D44=""Euro"",'Original Data'!F44,
IF($D44=""Dolar"",'Original Data'!F44*GOOGLEFINANCE(""Currency:USDEUR""),
IF($D44=""Franco Suíço"",'Original Data'!F44*GOOGLEFINANCE(""Currency:CHFEUR""),
IF($D44=""Libra Esterlina"", 'Original Data'!F44*GOOGLEFINANCE"&amp;"(""Currency:GBPEUR""),
IF($D44=""Iene"",'Original Data'!F44*GOOGLEFINANCE(""Currency:JPYEUR""),
IF($D44=""HKD"",'Original Data'!F44*GOOGLEFINANCE(""Currency:HKDEUR""),
IF($D44=""KRW"",'Original Data'!F44*GOOGLEFINANCE(""Currency:KRWEUR""),"""")))))))"),11501.4070432)</f>
        <v>11501.40704</v>
      </c>
      <c r="G44" s="8">
        <f>IFERROR(__xludf.DUMMYFUNCTION("IF($D44=""Euro"",'Original Data'!G44,
IF($D44=""Dolar"",'Original Data'!G44*GOOGLEFINANCE(""Currency:USDEUR""),
IF($D44=""Franco Suíço"",'Original Data'!G44*GOOGLEFINANCE(""Currency:CHFEUR""),
IF($D44=""Libra Esterlina"", 'Original Data'!G44*GOOGLEFINANCE"&amp;"(""Currency:GBPEUR""),
IF($D44=""Iene"",'Original Data'!G44*GOOGLEFINANCE(""Currency:JPYEUR""),
IF($D44=""HKD"",'Original Data'!G44*GOOGLEFINANCE(""Currency:HKDEUR""),
IF($D44=""KRW"",'Original Data'!G44*GOOGLEFINANCE(""Currency:KRWEUR""),"""")))))))"),181.1117220848)</f>
        <v>181.1117221</v>
      </c>
      <c r="H44" s="17">
        <v>2.584</v>
      </c>
      <c r="I44" s="7">
        <v>1621.67</v>
      </c>
      <c r="J44" s="9">
        <v>0.0219</v>
      </c>
      <c r="K44" s="9">
        <v>0.0366</v>
      </c>
      <c r="L44" s="9">
        <v>0.0262</v>
      </c>
      <c r="M44" s="9">
        <v>0.1103</v>
      </c>
      <c r="N44" s="8">
        <f>IFERROR(__xludf.DUMMYFUNCTION("'Original Data'!N44*GOOGLEFINANCE(""Currency:USDEUR"")"),0.055139999999999995)</f>
        <v>0.05514</v>
      </c>
      <c r="O44" s="8">
        <f>IFERROR(__xludf.DUMMYFUNCTION("'Original Data'!O44*GOOGLEFINANCE(""Currency:USDEUR"")"),20.30071)</f>
        <v>20.30071</v>
      </c>
      <c r="P44" s="8">
        <f>IFERROR(__xludf.DUMMYFUNCTION("'Original Data'!P44*GOOGLEFINANCE(""Currency:USDEUR"")"),22.408896)</f>
        <v>22.408896</v>
      </c>
      <c r="Q44" s="8">
        <f>IFERROR(__xludf.DUMMYFUNCTION("'Original Data'!Q44*GOOGLEFINANCE(""Currency:USDEUR"")"),24.461022999999997)</f>
        <v>24.461023</v>
      </c>
      <c r="R44" s="8">
        <f>IFERROR(__xludf.DUMMYFUNCTION("'Original Data'!R44*GOOGLEFINANCE(""Currency:USDEUR"")"),34.386223)</f>
        <v>34.386223</v>
      </c>
      <c r="S44" s="8">
        <f>IFERROR(__xludf.DUMMYFUNCTION("'Original Data'!S44*GOOGLEFINANCE(""Currency:USDEUR"")"),6.561659999999999)</f>
        <v>6.56166</v>
      </c>
      <c r="T44" s="8">
        <f>IFERROR(__xludf.DUMMYFUNCTION("'Original Data'!T44*GOOGLEFINANCE(""Currency:USDEUR"")"),6.1444339999999995)</f>
        <v>6.144434</v>
      </c>
      <c r="U44" s="8">
        <f>IFERROR(__xludf.DUMMYFUNCTION("'Original Data'!U44*GOOGLEFINANCE(""Currency:USDEUR"")"),7.637808999999999)</f>
        <v>7.637809</v>
      </c>
      <c r="V44" s="8">
        <f>IFERROR(__xludf.DUMMYFUNCTION("'Original Data'!V44*GOOGLEFINANCE(""Currency:USDEUR"")"),6.971534)</f>
        <v>6.971534</v>
      </c>
      <c r="W44" s="7" t="s">
        <v>34</v>
      </c>
      <c r="X44" s="7" t="s">
        <v>34</v>
      </c>
      <c r="Y44" s="7" t="s">
        <v>114</v>
      </c>
      <c r="Z44" s="7" t="s">
        <v>52</v>
      </c>
      <c r="AA44" s="7" t="s">
        <v>34</v>
      </c>
      <c r="AB44" s="7" t="s">
        <v>34</v>
      </c>
      <c r="AC44" s="7">
        <v>23.0</v>
      </c>
      <c r="AD44" s="7">
        <v>1.2</v>
      </c>
      <c r="AE44" s="7">
        <v>14.2</v>
      </c>
      <c r="AF44" s="7">
        <v>7.8</v>
      </c>
      <c r="AG44" s="7">
        <v>3.0</v>
      </c>
    </row>
    <row r="45">
      <c r="A45" s="16" t="s">
        <v>174</v>
      </c>
      <c r="B45" s="16" t="s">
        <v>175</v>
      </c>
      <c r="C45" s="16" t="s">
        <v>176</v>
      </c>
      <c r="D45" s="7" t="s">
        <v>40</v>
      </c>
      <c r="E45" s="8">
        <f>IFERROR(__xludf.DUMMYFUNCTION("IF($D45=""Euro"",'Original Data'!E45,
IF($D45=""Dolar"",'Original Data'!E45*GOOGLEFINANCE(""Currency:USDEUR""),
IF($D45=""Franco Suíço"",'Original Data'!E45*GOOGLEFINANCE(""Currency:CHFEUR""),
IF($D45=""Libra Esterlina"", 'Original Data'!E45*GOOGLEFINANCE"&amp;"(""Currency:GBPEUR""),
IF($D45=""Iene"",'Original Data'!E45*GOOGLEFINANCE(""Currency:JPYEUR""),
IF($D45=""HKD"",'Original Data'!E45*GOOGLEFINANCE(""Currency:HKDEUR""),
IF($D45=""KRW"",'Original Data'!E45*GOOGLEFINANCE(""Currency:KRWEUR""),"""")))))))"),1.23146)</f>
        <v>1.23146</v>
      </c>
      <c r="F45" s="8">
        <f>IFERROR(__xludf.DUMMYFUNCTION("IF($D45=""Euro"",'Original Data'!F45,
IF($D45=""Dolar"",'Original Data'!F45*GOOGLEFINANCE(""Currency:USDEUR""),
IF($D45=""Franco Suíço"",'Original Data'!F45*GOOGLEFINANCE(""Currency:CHFEUR""),
IF($D45=""Libra Esterlina"", 'Original Data'!F45*GOOGLEFINANCE"&amp;"(""Currency:GBPEUR""),
IF($D45=""Iene"",'Original Data'!F45*GOOGLEFINANCE(""Currency:JPYEUR""),
IF($D45=""HKD"",'Original Data'!F45*GOOGLEFINANCE(""Currency:HKDEUR""),
IF($D45=""KRW"",'Original Data'!F45*GOOGLEFINANCE(""Currency:KRWEUR""),"""")))))))"),112.01691)</f>
        <v>112.01691</v>
      </c>
      <c r="G45" s="8">
        <f>IFERROR(__xludf.DUMMYFUNCTION("IF($D45=""Euro"",'Original Data'!G45,
IF($D45=""Dolar"",'Original Data'!G45*GOOGLEFINANCE(""Currency:USDEUR""),
IF($D45=""Franco Suíço"",'Original Data'!G45*GOOGLEFINANCE(""Currency:CHFEUR""),
IF($D45=""Libra Esterlina"", 'Original Data'!G45*GOOGLEFINANCE"&amp;"(""Currency:GBPEUR""),
IF($D45=""Iene"",'Original Data'!G45*GOOGLEFINANCE(""Currency:JPYEUR""),
IF($D45=""HKD"",'Original Data'!G45*GOOGLEFINANCE(""Currency:HKDEUR""),
IF($D45=""KRW"",'Original Data'!G45*GOOGLEFINANCE(""Currency:KRWEUR""),"""")))))))"),190.959929)</f>
        <v>190.959929</v>
      </c>
      <c r="H45" s="17">
        <v>6.22</v>
      </c>
      <c r="I45" s="7">
        <v>29.91</v>
      </c>
      <c r="J45" s="9">
        <v>0.0154</v>
      </c>
      <c r="K45" s="9">
        <v>0.0657</v>
      </c>
      <c r="L45" s="9">
        <v>0.0559</v>
      </c>
      <c r="M45" s="9">
        <v>0.1267</v>
      </c>
      <c r="N45" s="8">
        <f>IFERROR(__xludf.DUMMYFUNCTION("IF('Original Data'!N45=""-"",""-"",
IF($D45=""Euro"",'Original Data'!N45,
IF($D45=""Dolar"",'Original Data'!N45*GOOGLEFINANCE(""Currency:USDEUR""),
IF($D45=""Franco Suíço"",'Original Data'!N45*GOOGLEFINANCE(""Currency:CHFEUR""),
IF($D45=""Libra Esterlina"&amp;""", 'Original Data'!N45*GOOGLEFINANCE(""Currency:GBPEUR""),
IF($D45=""Iene"",'Original Data'!N45*GOOGLEFINANCE(""Currency:JPYEUR""),
IF($D45=""HKD"",'Original Data'!N45*GOOGLEFINANCE(""Currency:HKDEUR""),
IF($D45=""KRW"",'Original Data'!N45*GOOGLEFINANCE("&amp;"""Currency:KRWEUR""),""""))))))))"),3.6576199999999996)</f>
        <v>3.65762</v>
      </c>
      <c r="O45" s="8">
        <f>IFERROR(__xludf.DUMMYFUNCTION("IF('Original Data'!O45=""-"",""-"",
IF($D45=""Euro"",'Original Data'!O45,
IF($D45=""Dolar"",'Original Data'!O45*GOOGLEFINANCE(""Currency:USDEUR""),
IF($D45=""Franco Suíço"",'Original Data'!O45*GOOGLEFINANCE(""Currency:CHFEUR""),
IF($D45=""Libra Esterlina"&amp;""", 'Original Data'!O45*GOOGLEFINANCE(""Currency:GBPEUR""),
IF($D45=""Iene"",'Original Data'!O45*GOOGLEFINANCE(""Currency:JPYEUR""),
IF($D45=""HKD"",'Original Data'!O45*GOOGLEFINANCE(""Currency:HKDEUR""),
IF($D45=""KRW"",'Original Data'!O45*GOOGLEFINANCE("&amp;"""Currency:KRWEUR""),""""))))))))"),28.103019999999997)</f>
        <v>28.10302</v>
      </c>
      <c r="P45" s="8">
        <f>IFERROR(__xludf.DUMMYFUNCTION("IF('Original Data'!P45=""-"",""-"",
IF($D45=""Euro"",'Original Data'!P45,
IF($D45=""Dolar"",'Original Data'!P45*GOOGLEFINANCE(""Currency:USDEUR""),
IF($D45=""Franco Suíço"",'Original Data'!P45*GOOGLEFINANCE(""Currency:CHFEUR""),
IF($D45=""Libra Esterlina"&amp;""", 'Original Data'!P45*GOOGLEFINANCE(""Currency:GBPEUR""),
IF($D45=""Iene"",'Original Data'!P45*GOOGLEFINANCE(""Currency:JPYEUR""),
IF($D45=""HKD"",'Original Data'!P45*GOOGLEFINANCE(""Currency:HKDEUR""),
IF($D45=""KRW"",'Original Data'!P45*GOOGLEFINANCE("&amp;"""Currency:KRWEUR""),""""))))))))"),29.316099999999995)</f>
        <v>29.3161</v>
      </c>
      <c r="Q45" s="8">
        <f>IFERROR(__xludf.DUMMYFUNCTION("IF('Original Data'!Q45=""-"",""-"",
IF($D45=""Euro"",'Original Data'!Q45,
IF($D45=""Dolar"",'Original Data'!Q45*GOOGLEFINANCE(""Currency:USDEUR""),
IF($D45=""Franco Suíço"",'Original Data'!Q45*GOOGLEFINANCE(""Currency:CHFEUR""),
IF($D45=""Libra Esterlina"&amp;""", 'Original Data'!Q45*GOOGLEFINANCE(""Currency:GBPEUR""),
IF($D45=""Iene"",'Original Data'!Q45*GOOGLEFINANCE(""Currency:JPYEUR""),
IF($D45=""HKD"",'Original Data'!Q45*GOOGLEFINANCE(""Currency:HKDEUR""),
IF($D45=""KRW"",'Original Data'!Q45*GOOGLEFINANCE("&amp;"""Currency:KRWEUR""),""""))))))))"),31.806589999999996)</f>
        <v>31.80659</v>
      </c>
      <c r="R45" s="8">
        <f>IFERROR(__xludf.DUMMYFUNCTION("IF('Original Data'!R45=""-"",""-"",
IF($D45=""Euro"",'Original Data'!R45,
IF($D45=""Dolar"",'Original Data'!R45*GOOGLEFINANCE(""Currency:USDEUR""),
IF($D45=""Franco Suíço"",'Original Data'!R45*GOOGLEFINANCE(""Currency:CHFEUR""),
IF($D45=""Libra Esterlina"&amp;""", 'Original Data'!R45*GOOGLEFINANCE(""Currency:GBPEUR""),
IF($D45=""Iene"",'Original Data'!R45*GOOGLEFINANCE(""Currency:JPYEUR""),
IF($D45=""HKD"",'Original Data'!R45*GOOGLEFINANCE(""Currency:HKDEUR""),
IF($D45=""KRW"",'Original Data'!R45*GOOGLEFINANCE("&amp;"""Currency:KRWEUR""),""""))))))))"),39.59052)</f>
        <v>39.59052</v>
      </c>
      <c r="S45" s="8">
        <f>IFERROR(__xludf.DUMMYFUNCTION("IF('Original Data'!S45=""-"",""-"",
IF($D45=""Euro"",'Original Data'!S45,
IF($D45=""Dolar"",'Original Data'!S45*GOOGLEFINANCE(""Currency:USDEUR""),
IF($D45=""Franco Suíço"",'Original Data'!S45*GOOGLEFINANCE(""Currency:CHFEUR""),
IF($D45=""Libra Esterlina"&amp;""", 'Original Data'!S45*GOOGLEFINANCE(""Currency:GBPEUR""),
IF($D45=""Iene"",'Original Data'!S45*GOOGLEFINANCE(""Currency:JPYEUR""),
IF($D45=""HKD"",'Original Data'!S45*GOOGLEFINANCE(""Currency:HKDEUR""),
IF($D45=""KRW"",'Original Data'!S45*GOOGLEFINANCE("&amp;"""Currency:KRWEUR""),""""))))))))"),6.543279999999999)</f>
        <v>6.54328</v>
      </c>
      <c r="T45" s="8">
        <f>IFERROR(__xludf.DUMMYFUNCTION("IF('Original Data'!T45=""-"",""-"",
IF($D45=""Euro"",'Original Data'!T45,
IF($D45=""Dolar"",'Original Data'!T45*GOOGLEFINANCE(""Currency:USDEUR""),
IF($D45=""Franco Suíço"",'Original Data'!T45*GOOGLEFINANCE(""Currency:CHFEUR""),
IF($D45=""Libra Esterlina"&amp;""", 'Original Data'!T45*GOOGLEFINANCE(""Currency:GBPEUR""),
IF($D45=""Iene"",'Original Data'!T45*GOOGLEFINANCE(""Currency:JPYEUR""),
IF($D45=""HKD"",'Original Data'!T45*GOOGLEFINANCE(""Currency:HKDEUR""),
IF($D45=""KRW"",'Original Data'!T45*GOOGLEFINANCE("&amp;"""Currency:KRWEUR""),""""))))))))"),6.993589999999999)</f>
        <v>6.99359</v>
      </c>
      <c r="U45" s="8">
        <f>IFERROR(__xludf.DUMMYFUNCTION("IF('Original Data'!U45=""-"",""-"",
IF($D45=""Euro"",'Original Data'!U45,
IF($D45=""Dolar"",'Original Data'!U45*GOOGLEFINANCE(""Currency:USDEUR""),
IF($D45=""Franco Suíço"",'Original Data'!U45*GOOGLEFINANCE(""Currency:CHFEUR""),
IF($D45=""Libra Esterlina"&amp;""", 'Original Data'!U45*GOOGLEFINANCE(""Currency:GBPEUR""),
IF($D45=""Iene"",'Original Data'!U45*GOOGLEFINANCE(""Currency:JPYEUR""),
IF($D45=""HKD"",'Original Data'!U45*GOOGLEFINANCE(""Currency:HKDEUR""),
IF($D45=""KRW"",'Original Data'!U45*GOOGLEFINANCE("&amp;"""Currency:KRWEUR""),""""))))))))"),7.921779999999998)</f>
        <v>7.92178</v>
      </c>
      <c r="V45" s="8">
        <f>IFERROR(__xludf.DUMMYFUNCTION("IF('Original Data'!V45=""-"",""-"",
IF($D45=""Euro"",'Original Data'!V45,
IF($D45=""Dolar"",'Original Data'!V45*GOOGLEFINANCE(""Currency:USDEUR""),
IF($D45=""Franco Suíço"",'Original Data'!V45*GOOGLEFINANCE(""Currency:CHFEUR""),
IF($D45=""Libra Esterlina"&amp;""", 'Original Data'!V45*GOOGLEFINANCE(""Currency:GBPEUR""),
IF($D45=""Iene"",'Original Data'!V45*GOOGLEFINANCE(""Currency:JPYEUR""),
IF($D45=""HKD"",'Original Data'!V45*GOOGLEFINANCE(""Currency:HKDEUR""),
IF($D45=""KRW"",'Original Data'!V45*GOOGLEFINANCE("&amp;"""Currency:KRWEUR""),""""))))))))"),11.70806)</f>
        <v>11.70806</v>
      </c>
      <c r="W45" s="7" t="s">
        <v>43</v>
      </c>
      <c r="X45" s="7" t="s">
        <v>43</v>
      </c>
      <c r="Y45" s="7" t="s">
        <v>59</v>
      </c>
      <c r="Z45" s="7" t="s">
        <v>59</v>
      </c>
      <c r="AA45" s="7" t="s">
        <v>43</v>
      </c>
      <c r="AB45" s="7" t="s">
        <v>35</v>
      </c>
      <c r="AC45" s="7">
        <v>26.0</v>
      </c>
      <c r="AD45" s="7">
        <v>3.0</v>
      </c>
      <c r="AE45" s="7">
        <v>13.5</v>
      </c>
      <c r="AF45" s="7">
        <v>9.4</v>
      </c>
      <c r="AG45" s="7">
        <v>3.0</v>
      </c>
    </row>
    <row r="46">
      <c r="A46" s="16" t="s">
        <v>177</v>
      </c>
      <c r="B46" s="16" t="s">
        <v>178</v>
      </c>
      <c r="C46" s="16" t="s">
        <v>179</v>
      </c>
      <c r="D46" s="7" t="s">
        <v>33</v>
      </c>
      <c r="E46" s="8">
        <f>IFERROR(__xludf.DUMMYFUNCTION("IF($D46=""Euro"",'Original Data'!E46,
IF($D46=""Dolar"",'Original Data'!E46*GOOGLEFINANCE(""Currency:USDEUR""),
IF($D46=""Franco Suíço"",'Original Data'!E46*GOOGLEFINANCE(""Currency:CHFEUR""),
IF($D46=""Libra Esterlina"", 'Original Data'!E46*GOOGLEFINANCE"&amp;"(""Currency:GBPEUR""),
IF($D46=""Iene"",'Original Data'!E46*GOOGLEFINANCE(""Currency:JPYEUR""),
IF($D46=""HKD"",'Original Data'!E46*GOOGLEFINANCE(""Currency:HKDEUR""),
IF($D46=""KRW"",'Original Data'!E46*GOOGLEFINANCE(""Currency:KRWEUR""),"""")))))))"),23.05)</f>
        <v>23.05</v>
      </c>
      <c r="F46" s="8">
        <f>IFERROR(__xludf.DUMMYFUNCTION("IF($D46=""Euro"",'Original Data'!F46,
IF($D46=""Dolar"",'Original Data'!F46*GOOGLEFINANCE(""Currency:USDEUR""),
IF($D46=""Franco Suíço"",'Original Data'!F46*GOOGLEFINANCE(""Currency:CHFEUR""),
IF($D46=""Libra Esterlina"", 'Original Data'!F46*GOOGLEFINANCE"&amp;"(""Currency:GBPEUR""),
IF($D46=""Iene"",'Original Data'!F46*GOOGLEFINANCE(""Currency:JPYEUR""),
IF($D46=""HKD"",'Original Data'!F46*GOOGLEFINANCE(""Currency:HKDEUR""),
IF($D46=""KRW"",'Original Data'!F46*GOOGLEFINANCE(""Currency:KRWEUR""),"""")))))))"),45.91)</f>
        <v>45.91</v>
      </c>
      <c r="G46" s="8">
        <f>IFERROR(__xludf.DUMMYFUNCTION("IF($D46=""Euro"",'Original Data'!G46,
IF($D46=""Dolar"",'Original Data'!G46*GOOGLEFINANCE(""Currency:USDEUR""),
IF($D46=""Franco Suíço"",'Original Data'!G46*GOOGLEFINANCE(""Currency:CHFEUR""),
IF($D46=""Libra Esterlina"", 'Original Data'!G46*GOOGLEFINANCE"&amp;"(""Currency:GBPEUR""),
IF($D46=""Iene"",'Original Data'!G46*GOOGLEFINANCE(""Currency:JPYEUR""),
IF($D46=""HKD"",'Original Data'!G46*GOOGLEFINANCE(""Currency:HKDEUR""),
IF($D46=""KRW"",'Original Data'!G46*GOOGLEFINANCE(""Currency:KRWEUR""),"""")))))))"),55.721)</f>
        <v>55.721</v>
      </c>
      <c r="H46" s="17">
        <v>3.262</v>
      </c>
      <c r="I46" s="7">
        <v>11.22</v>
      </c>
      <c r="J46" s="9">
        <v>0.0392</v>
      </c>
      <c r="K46" s="9">
        <v>0.1009</v>
      </c>
      <c r="L46" s="9">
        <v>0.0665</v>
      </c>
      <c r="M46" s="9">
        <v>0.2232</v>
      </c>
      <c r="N46" s="8">
        <f>IFERROR(__xludf.DUMMYFUNCTION("IF('Original Data'!N46=""-"",""-"",
IF($D46=""Euro"",'Original Data'!N46,
IF($D46=""Dolar"",'Original Data'!N46*GOOGLEFINANCE(""Currency:USDEUR""),
IF($D46=""Franco Suíço"",'Original Data'!N46*GOOGLEFINANCE(""Currency:CHFEUR""),
IF($D46=""Libra Esterlina"&amp;""", 'Original Data'!N46*GOOGLEFINANCE(""Currency:GBPEUR""),
IF($D46=""Iene"",'Original Data'!N46*GOOGLEFINANCE(""Currency:JPYEUR""),
IF($D46=""HKD"",'Original Data'!N46*GOOGLEFINANCE(""Currency:HKDEUR""),
IF($D46=""KRW"",'Original Data'!N46*GOOGLEFINANCE("&amp;"""Currency:KRWEUR""),""""))))))))"),4.1)</f>
        <v>4.1</v>
      </c>
      <c r="O46" s="8">
        <f>IFERROR(__xludf.DUMMYFUNCTION("IF('Original Data'!O46=""-"",""-"",
IF($D46=""Euro"",'Original Data'!O46,
IF($D46=""Dolar"",'Original Data'!O46*GOOGLEFINANCE(""Currency:USDEUR""),
IF($D46=""Franco Suíço"",'Original Data'!O46*GOOGLEFINANCE(""Currency:CHFEUR""),
IF($D46=""Libra Esterlina"&amp;""", 'Original Data'!O46*GOOGLEFINANCE(""Currency:GBPEUR""),
IF($D46=""Iene"",'Original Data'!O46*GOOGLEFINANCE(""Currency:JPYEUR""),
IF($D46=""HKD"",'Original Data'!O46*GOOGLEFINANCE(""Currency:HKDEUR""),
IF($D46=""KRW"",'Original Data'!O46*GOOGLEFINANCE("&amp;"""Currency:KRWEUR""),""""))))))))"),61.55)</f>
        <v>61.55</v>
      </c>
      <c r="P46" s="8">
        <f>IFERROR(__xludf.DUMMYFUNCTION("IF('Original Data'!P46=""-"",""-"",
IF($D46=""Euro"",'Original Data'!P46,
IF($D46=""Dolar"",'Original Data'!P46*GOOGLEFINANCE(""Currency:USDEUR""),
IF($D46=""Franco Suíço"",'Original Data'!P46*GOOGLEFINANCE(""Currency:CHFEUR""),
IF($D46=""Libra Esterlina"&amp;""", 'Original Data'!P46*GOOGLEFINANCE(""Currency:GBPEUR""),
IF($D46=""Iene"",'Original Data'!P46*GOOGLEFINANCE(""Currency:JPYEUR""),
IF($D46=""HKD"",'Original Data'!P46*GOOGLEFINANCE(""Currency:HKDEUR""),
IF($D46=""KRW"",'Original Data'!P46*GOOGLEFINANCE("&amp;"""Currency:KRWEUR""),""""))))))))"),63.43)</f>
        <v>63.43</v>
      </c>
      <c r="Q46" s="8">
        <f>IFERROR(__xludf.DUMMYFUNCTION("IF('Original Data'!Q46=""-"",""-"",
IF($D46=""Euro"",'Original Data'!Q46,
IF($D46=""Dolar"",'Original Data'!Q46*GOOGLEFINANCE(""Currency:USDEUR""),
IF($D46=""Franco Suíço"",'Original Data'!Q46*GOOGLEFINANCE(""Currency:CHFEUR""),
IF($D46=""Libra Esterlina"&amp;""", 'Original Data'!Q46*GOOGLEFINANCE(""Currency:GBPEUR""),
IF($D46=""Iene"",'Original Data'!Q46*GOOGLEFINANCE(""Currency:JPYEUR""),
IF($D46=""HKD"",'Original Data'!Q46*GOOGLEFINANCE(""Currency:HKDEUR""),
IF($D46=""KRW"",'Original Data'!Q46*GOOGLEFINANCE("&amp;"""Currency:KRWEUR""),""""))))))))"),66.72)</f>
        <v>66.72</v>
      </c>
      <c r="R46" s="8">
        <f>IFERROR(__xludf.DUMMYFUNCTION("IF('Original Data'!R46=""-"",""-"",
IF($D46=""Euro"",'Original Data'!R46,
IF($D46=""Dolar"",'Original Data'!R46*GOOGLEFINANCE(""Currency:USDEUR""),
IF($D46=""Franco Suíço"",'Original Data'!R46*GOOGLEFINANCE(""Currency:CHFEUR""),
IF($D46=""Libra Esterlina"&amp;""", 'Original Data'!R46*GOOGLEFINANCE(""Currency:GBPEUR""),
IF($D46=""Iene"",'Original Data'!R46*GOOGLEFINANCE(""Currency:JPYEUR""),
IF($D46=""HKD"",'Original Data'!R46*GOOGLEFINANCE(""Currency:HKDEUR""),
IF($D46=""KRW"",'Original Data'!R46*GOOGLEFINANCE("&amp;"""Currency:KRWEUR""),""""))))))))"),81.75)</f>
        <v>81.75</v>
      </c>
      <c r="S46" s="8">
        <f>IFERROR(__xludf.DUMMYFUNCTION("IF('Original Data'!S46=""-"",""-"",
IF($D46=""Euro"",'Original Data'!S46,
IF($D46=""Dolar"",'Original Data'!S46*GOOGLEFINANCE(""Currency:USDEUR""),
IF($D46=""Franco Suíço"",'Original Data'!S46*GOOGLEFINANCE(""Currency:CHFEUR""),
IF($D46=""Libra Esterlina"&amp;""", 'Original Data'!S46*GOOGLEFINANCE(""Currency:GBPEUR""),
IF($D46=""Iene"",'Original Data'!S46*GOOGLEFINANCE(""Currency:JPYEUR""),
IF($D46=""HKD"",'Original Data'!S46*GOOGLEFINANCE(""Currency:HKDEUR""),
IF($D46=""KRW"",'Original Data'!S46*GOOGLEFINANCE("&amp;"""Currency:KRWEUR""),""""))))))))"),5.31)</f>
        <v>5.31</v>
      </c>
      <c r="T46" s="8">
        <f>IFERROR(__xludf.DUMMYFUNCTION("IF('Original Data'!T46=""-"",""-"",
IF($D46=""Euro"",'Original Data'!T46,
IF($D46=""Dolar"",'Original Data'!T46*GOOGLEFINANCE(""Currency:USDEUR""),
IF($D46=""Franco Suíço"",'Original Data'!T46*GOOGLEFINANCE(""Currency:CHFEUR""),
IF($D46=""Libra Esterlina"&amp;""", 'Original Data'!T46*GOOGLEFINANCE(""Currency:GBPEUR""),
IF($D46=""Iene"",'Original Data'!T46*GOOGLEFINANCE(""Currency:JPYEUR""),
IF($D46=""HKD"",'Original Data'!T46*GOOGLEFINANCE(""Currency:HKDEUR""),
IF($D46=""KRW"",'Original Data'!T46*GOOGLEFINANCE("&amp;"""Currency:KRWEUR""),""""))))))))"),6.11)</f>
        <v>6.11</v>
      </c>
      <c r="U46" s="8">
        <f>IFERROR(__xludf.DUMMYFUNCTION("IF('Original Data'!U46=""-"",""-"",
IF($D46=""Euro"",'Original Data'!U46,
IF($D46=""Dolar"",'Original Data'!U46*GOOGLEFINANCE(""Currency:USDEUR""),
IF($D46=""Franco Suíço"",'Original Data'!U46*GOOGLEFINANCE(""Currency:CHFEUR""),
IF($D46=""Libra Esterlina"&amp;""", 'Original Data'!U46*GOOGLEFINANCE(""Currency:GBPEUR""),
IF($D46=""Iene"",'Original Data'!U46*GOOGLEFINANCE(""Currency:JPYEUR""),
IF($D46=""HKD"",'Original Data'!U46*GOOGLEFINANCE(""Currency:HKDEUR""),
IF($D46=""KRW"",'Original Data'!U46*GOOGLEFINANCE("&amp;"""Currency:KRWEUR""),""""))))))))"),7.37)</f>
        <v>7.37</v>
      </c>
      <c r="V46" s="8">
        <f>IFERROR(__xludf.DUMMYFUNCTION("IF('Original Data'!V46=""-"",""-"",
IF($D46=""Euro"",'Original Data'!V46,
IF($D46=""Dolar"",'Original Data'!V46*GOOGLEFINANCE(""Currency:USDEUR""),
IF($D46=""Franco Suíço"",'Original Data'!V46*GOOGLEFINANCE(""Currency:CHFEUR""),
IF($D46=""Libra Esterlina"&amp;""", 'Original Data'!V46*GOOGLEFINANCE(""Currency:GBPEUR""),
IF($D46=""Iene"",'Original Data'!V46*GOOGLEFINANCE(""Currency:JPYEUR""),
IF($D46=""HKD"",'Original Data'!V46*GOOGLEFINANCE(""Currency:HKDEUR""),
IF($D46=""KRW"",'Original Data'!V46*GOOGLEFINANCE("&amp;"""Currency:KRWEUR""),""""))))))))"),10.29)</f>
        <v>10.29</v>
      </c>
      <c r="W46" s="7" t="s">
        <v>43</v>
      </c>
      <c r="X46" s="7" t="s">
        <v>43</v>
      </c>
      <c r="Y46" s="7" t="s">
        <v>41</v>
      </c>
      <c r="Z46" s="7" t="s">
        <v>41</v>
      </c>
      <c r="AA46" s="7" t="s">
        <v>41</v>
      </c>
      <c r="AB46" s="7" t="s">
        <v>41</v>
      </c>
      <c r="AC46" s="7">
        <v>16.0</v>
      </c>
      <c r="AD46" s="7">
        <v>4.0</v>
      </c>
      <c r="AE46" s="7">
        <v>6.7</v>
      </c>
      <c r="AF46" s="7">
        <v>4.9</v>
      </c>
      <c r="AG46" s="7">
        <v>2.0</v>
      </c>
    </row>
    <row r="47">
      <c r="A47" s="16" t="s">
        <v>180</v>
      </c>
      <c r="B47" s="16" t="s">
        <v>181</v>
      </c>
      <c r="C47" s="16" t="s">
        <v>182</v>
      </c>
      <c r="D47" s="7" t="s">
        <v>33</v>
      </c>
      <c r="E47" s="8">
        <f>IFERROR(__xludf.DUMMYFUNCTION("IF($D47=""Euro"",'Original Data'!E47,
IF($D47=""Dolar"",'Original Data'!E47*GOOGLEFINANCE(""Currency:USDEUR""),
IF($D47=""Franco Suíço"",'Original Data'!E47*GOOGLEFINANCE(""Currency:CHFEUR""),
IF($D47=""Libra Esterlina"", 'Original Data'!E47*GOOGLEFINANCE"&amp;"(""Currency:GBPEUR""),
IF($D47=""Iene"",'Original Data'!E47*GOOGLEFINANCE(""Currency:JPYEUR""),
IF($D47=""HKD"",'Original Data'!E47*GOOGLEFINANCE(""Currency:HKDEUR""),
IF($D47=""KRW"",'Original Data'!E47*GOOGLEFINANCE(""Currency:KRWEUR""),"""")))))))"),10.58)</f>
        <v>10.58</v>
      </c>
      <c r="F47" s="8">
        <f>IFERROR(__xludf.DUMMYFUNCTION("IF($D47=""Euro"",'Original Data'!F47,
IF($D47=""Dolar"",'Original Data'!F47*GOOGLEFINANCE(""Currency:USDEUR""),
IF($D47=""Franco Suíço"",'Original Data'!F47*GOOGLEFINANCE(""Currency:CHFEUR""),
IF($D47=""Libra Esterlina"", 'Original Data'!F47*GOOGLEFINANCE"&amp;"(""Currency:GBPEUR""),
IF($D47=""Iene"",'Original Data'!F47*GOOGLEFINANCE(""Currency:JPYEUR""),
IF($D47=""HKD"",'Original Data'!F47*GOOGLEFINANCE(""Currency:HKDEUR""),
IF($D47=""KRW"",'Original Data'!F47*GOOGLEFINANCE(""Currency:KRWEUR""),"""")))))))"),32.56)</f>
        <v>32.56</v>
      </c>
      <c r="G47" s="8">
        <f>IFERROR(__xludf.DUMMYFUNCTION("IF($D47=""Euro"",'Original Data'!G47,
IF($D47=""Dolar"",'Original Data'!G47*GOOGLEFINANCE(""Currency:USDEUR""),
IF($D47=""Franco Suíço"",'Original Data'!G47*GOOGLEFINANCE(""Currency:CHFEUR""),
IF($D47=""Libra Esterlina"", 'Original Data'!G47*GOOGLEFINANCE"&amp;"(""Currency:GBPEUR""),
IF($D47=""Iene"",'Original Data'!G47*GOOGLEFINANCE(""Currency:JPYEUR""),
IF($D47=""HKD"",'Original Data'!G47*GOOGLEFINANCE(""Currency:HKDEUR""),
IF($D47=""KRW"",'Original Data'!G47*GOOGLEFINANCE(""Currency:KRWEUR""),"""")))))))"),4.208)</f>
        <v>4.208</v>
      </c>
      <c r="H47" s="17">
        <v>0.257</v>
      </c>
      <c r="I47" s="7">
        <v>27.96</v>
      </c>
      <c r="J47" s="9">
        <v>0.0154</v>
      </c>
      <c r="K47" s="9">
        <v>-0.0101</v>
      </c>
      <c r="L47" s="9">
        <v>-0.0066</v>
      </c>
      <c r="M47" s="9">
        <v>-0.0119</v>
      </c>
      <c r="N47" s="8">
        <f>IFERROR(__xludf.DUMMYFUNCTION("IF('Original Data'!N47=""-"",""-"",
IF($D47=""Euro"",'Original Data'!N47,
IF($D47=""Dolar"",'Original Data'!N47*GOOGLEFINANCE(""Currency:USDEUR""),
IF($D47=""Franco Suíço"",'Original Data'!N47*GOOGLEFINANCE(""Currency:CHFEUR""),
IF($D47=""Libra Esterlina"&amp;""", 'Original Data'!N47*GOOGLEFINANCE(""Currency:GBPEUR""),
IF($D47=""Iene"",'Original Data'!N47*GOOGLEFINANCE(""Currency:JPYEUR""),
IF($D47=""HKD"",'Original Data'!N47*GOOGLEFINANCE(""Currency:HKDEUR""),
IF($D47=""KRW"",'Original Data'!N47*GOOGLEFINANCE("&amp;"""Currency:KRWEUR""),""""))))))))"),1.16)</f>
        <v>1.16</v>
      </c>
      <c r="O47" s="8">
        <f>IFERROR(__xludf.DUMMYFUNCTION("IF('Original Data'!O47=""-"",""-"",
IF($D47=""Euro"",'Original Data'!O47,
IF($D47=""Dolar"",'Original Data'!O47*GOOGLEFINANCE(""Currency:USDEUR""),
IF($D47=""Franco Suíço"",'Original Data'!O47*GOOGLEFINANCE(""Currency:CHFEUR""),
IF($D47=""Libra Esterlina"&amp;""", 'Original Data'!O47*GOOGLEFINANCE(""Currency:GBPEUR""),
IF($D47=""Iene"",'Original Data'!O47*GOOGLEFINANCE(""Currency:JPYEUR""),
IF($D47=""HKD"",'Original Data'!O47*GOOGLEFINANCE(""Currency:HKDEUR""),
IF($D47=""KRW"",'Original Data'!O47*GOOGLEFINANCE("&amp;"""Currency:KRWEUR""),""""))))))))"),2.57)</f>
        <v>2.57</v>
      </c>
      <c r="P47" s="8">
        <f>IFERROR(__xludf.DUMMYFUNCTION("IF('Original Data'!P47=""-"",""-"",
IF($D47=""Euro"",'Original Data'!P47,
IF($D47=""Dolar"",'Original Data'!P47*GOOGLEFINANCE(""Currency:USDEUR""),
IF($D47=""Franco Suíço"",'Original Data'!P47*GOOGLEFINANCE(""Currency:CHFEUR""),
IF($D47=""Libra Esterlina"&amp;""", 'Original Data'!P47*GOOGLEFINANCE(""Currency:GBPEUR""),
IF($D47=""Iene"",'Original Data'!P47*GOOGLEFINANCE(""Currency:JPYEUR""),
IF($D47=""HKD"",'Original Data'!P47*GOOGLEFINANCE(""Currency:HKDEUR""),
IF($D47=""KRW"",'Original Data'!P47*GOOGLEFINANCE("&amp;"""Currency:KRWEUR""),""""))))))))"),2.64)</f>
        <v>2.64</v>
      </c>
      <c r="Q47" s="8">
        <f>IFERROR(__xludf.DUMMYFUNCTION("IF('Original Data'!Q47=""-"",""-"",
IF($D47=""Euro"",'Original Data'!Q47,
IF($D47=""Dolar"",'Original Data'!Q47*GOOGLEFINANCE(""Currency:USDEUR""),
IF($D47=""Franco Suíço"",'Original Data'!Q47*GOOGLEFINANCE(""Currency:CHFEUR""),
IF($D47=""Libra Esterlina"&amp;""", 'Original Data'!Q47*GOOGLEFINANCE(""Currency:GBPEUR""),
IF($D47=""Iene"",'Original Data'!Q47*GOOGLEFINANCE(""Currency:JPYEUR""),
IF($D47=""HKD"",'Original Data'!Q47*GOOGLEFINANCE(""Currency:HKDEUR""),
IF($D47=""KRW"",'Original Data'!Q47*GOOGLEFINANCE("&amp;"""Currency:KRWEUR""),""""))))))))"),2.52)</f>
        <v>2.52</v>
      </c>
      <c r="R47" s="8">
        <f>IFERROR(__xludf.DUMMYFUNCTION("IF('Original Data'!R47=""-"",""-"",
IF($D47=""Euro"",'Original Data'!R47,
IF($D47=""Dolar"",'Original Data'!R47*GOOGLEFINANCE(""Currency:USDEUR""),
IF($D47=""Franco Suíço"",'Original Data'!R47*GOOGLEFINANCE(""Currency:CHFEUR""),
IF($D47=""Libra Esterlina"&amp;""", 'Original Data'!R47*GOOGLEFINANCE(""Currency:GBPEUR""),
IF($D47=""Iene"",'Original Data'!R47*GOOGLEFINANCE(""Currency:JPYEUR""),
IF($D47=""HKD"",'Original Data'!R47*GOOGLEFINANCE(""Currency:HKDEUR""),
IF($D47=""KRW"",'Original Data'!R47*GOOGLEFINANCE("&amp;"""Currency:KRWEUR""),""""))))))))"),2.96)</f>
        <v>2.96</v>
      </c>
      <c r="S47" s="8">
        <f>IFERROR(__xludf.DUMMYFUNCTION("IF('Original Data'!S47=""-"",""-"",
IF($D47=""Euro"",'Original Data'!S47,
IF($D47=""Dolar"",'Original Data'!S47*GOOGLEFINANCE(""Currency:USDEUR""),
IF($D47=""Franco Suíço"",'Original Data'!S47*GOOGLEFINANCE(""Currency:CHFEUR""),
IF($D47=""Libra Esterlina"&amp;""", 'Original Data'!S47*GOOGLEFINANCE(""Currency:GBPEUR""),
IF($D47=""Iene"",'Original Data'!S47*GOOGLEFINANCE(""Currency:JPYEUR""),
IF($D47=""HKD"",'Original Data'!S47*GOOGLEFINANCE(""Currency:HKDEUR""),
IF($D47=""KRW"",'Original Data'!S47*GOOGLEFINANCE("&amp;"""Currency:KRWEUR""),""""))))))))"),0.31973)</f>
        <v>0.31973</v>
      </c>
      <c r="T47" s="8">
        <f>IFERROR(__xludf.DUMMYFUNCTION("IF('Original Data'!T47=""-"",""-"",
IF($D47=""Euro"",'Original Data'!T47,
IF($D47=""Dolar"",'Original Data'!T47*GOOGLEFINANCE(""Currency:USDEUR""),
IF($D47=""Franco Suíço"",'Original Data'!T47*GOOGLEFINANCE(""Currency:CHFEUR""),
IF($D47=""Libra Esterlina"&amp;""", 'Original Data'!T47*GOOGLEFINANCE(""Currency:GBPEUR""),
IF($D47=""Iene"",'Original Data'!T47*GOOGLEFINANCE(""Currency:JPYEUR""),
IF($D47=""HKD"",'Original Data'!T47*GOOGLEFINANCE(""Currency:HKDEUR""),
IF($D47=""KRW"",'Original Data'!T47*GOOGLEFINANCE("&amp;"""Currency:KRWEUR""),""""))))))))"),0.25255)</f>
        <v>0.25255</v>
      </c>
      <c r="U47" s="8">
        <f>IFERROR(__xludf.DUMMYFUNCTION("IF('Original Data'!U47=""-"",""-"",
IF($D47=""Euro"",'Original Data'!U47,
IF($D47=""Dolar"",'Original Data'!U47*GOOGLEFINANCE(""Currency:USDEUR""),
IF($D47=""Franco Suíço"",'Original Data'!U47*GOOGLEFINANCE(""Currency:CHFEUR""),
IF($D47=""Libra Esterlina"&amp;""", 'Original Data'!U47*GOOGLEFINANCE(""Currency:GBPEUR""),
IF($D47=""Iene"",'Original Data'!U47*GOOGLEFINANCE(""Currency:JPYEUR""),
IF($D47=""HKD"",'Original Data'!U47*GOOGLEFINANCE(""Currency:HKDEUR""),
IF($D47=""KRW"",'Original Data'!U47*GOOGLEFINANCE("&amp;"""Currency:KRWEUR""),""""))))))))"),0.36463)</f>
        <v>0.36463</v>
      </c>
      <c r="V47" s="8">
        <f>IFERROR(__xludf.DUMMYFUNCTION("IF('Original Data'!V47=""-"",""-"",
IF($D47=""Euro"",'Original Data'!V47,
IF($D47=""Dolar"",'Original Data'!V47*GOOGLEFINANCE(""Currency:USDEUR""),
IF($D47=""Franco Suíço"",'Original Data'!V47*GOOGLEFINANCE(""Currency:CHFEUR""),
IF($D47=""Libra Esterlina"&amp;""", 'Original Data'!V47*GOOGLEFINANCE(""Currency:GBPEUR""),
IF($D47=""Iene"",'Original Data'!V47*GOOGLEFINANCE(""Currency:JPYEUR""),
IF($D47=""HKD"",'Original Data'!V47*GOOGLEFINANCE(""Currency:HKDEUR""),
IF($D47=""KRW"",'Original Data'!V47*GOOGLEFINANCE("&amp;"""Currency:KRWEUR""),""""))))))))"),0.42716)</f>
        <v>0.42716</v>
      </c>
      <c r="W47" s="7" t="s">
        <v>42</v>
      </c>
      <c r="X47" s="7" t="s">
        <v>52</v>
      </c>
      <c r="Y47" s="7" t="s">
        <v>59</v>
      </c>
      <c r="Z47" s="7" t="s">
        <v>59</v>
      </c>
      <c r="AA47" s="7" t="s">
        <v>41</v>
      </c>
      <c r="AB47" s="7" t="s">
        <v>41</v>
      </c>
      <c r="AC47" s="7" t="s">
        <v>41</v>
      </c>
      <c r="AD47" s="7" t="s">
        <v>41</v>
      </c>
      <c r="AE47" s="7" t="s">
        <v>41</v>
      </c>
      <c r="AF47" s="7" t="s">
        <v>41</v>
      </c>
      <c r="AG47" s="7" t="s">
        <v>41</v>
      </c>
    </row>
    <row r="48">
      <c r="A48" s="16" t="s">
        <v>183</v>
      </c>
      <c r="B48" s="16" t="s">
        <v>184</v>
      </c>
      <c r="C48" s="16" t="s">
        <v>185</v>
      </c>
      <c r="D48" s="7" t="s">
        <v>33</v>
      </c>
      <c r="E48" s="8">
        <f>IFERROR(__xludf.DUMMYFUNCTION("IF($D48=""Euro"",'Original Data'!E48,
IF($D48=""Dolar"",'Original Data'!E48*GOOGLEFINANCE(""Currency:USDEUR""),
IF($D48=""Franco Suíço"",'Original Data'!E48*GOOGLEFINANCE(""Currency:CHFEUR""),
IF($D48=""Libra Esterlina"", 'Original Data'!E48*GOOGLEFINANCE"&amp;"(""Currency:GBPEUR""),
IF($D48=""Iene"",'Original Data'!E48*GOOGLEFINANCE(""Currency:JPYEUR""),
IF($D48=""HKD"",'Original Data'!E48*GOOGLEFINANCE(""Currency:HKDEUR""),
IF($D48=""KRW"",'Original Data'!E48*GOOGLEFINANCE(""Currency:KRWEUR""),"""")))))))"),6.2)</f>
        <v>6.2</v>
      </c>
      <c r="F48" s="8">
        <f>IFERROR(__xludf.DUMMYFUNCTION("IF($D48=""Euro"",'Original Data'!F48,
IF($D48=""Dolar"",'Original Data'!F48*GOOGLEFINANCE(""Currency:USDEUR""),
IF($D48=""Franco Suíço"",'Original Data'!F48*GOOGLEFINANCE(""Currency:CHFEUR""),
IF($D48=""Libra Esterlina"", 'Original Data'!F48*GOOGLEFINANCE"&amp;"(""Currency:GBPEUR""),
IF($D48=""Iene"",'Original Data'!F48*GOOGLEFINANCE(""Currency:JPYEUR""),
IF($D48=""HKD"",'Original Data'!F48*GOOGLEFINANCE(""Currency:HKDEUR""),
IF($D48=""KRW"",'Original Data'!F48*GOOGLEFINANCE(""Currency:KRWEUR""),"""")))))))"),26.0)</f>
        <v>26</v>
      </c>
      <c r="G48" s="8">
        <f>IFERROR(__xludf.DUMMYFUNCTION("IF($D48=""Euro"",'Original Data'!G48,
IF($D48=""Dolar"",'Original Data'!G48*GOOGLEFINANCE(""Currency:USDEUR""),
IF($D48=""Franco Suíço"",'Original Data'!G48*GOOGLEFINANCE(""Currency:CHFEUR""),
IF($D48=""Libra Esterlina"", 'Original Data'!G48*GOOGLEFINANCE"&amp;"(""Currency:GBPEUR""),
IF($D48=""Iene"",'Original Data'!G48*GOOGLEFINANCE(""Currency:JPYEUR""),
IF($D48=""HKD"",'Original Data'!G48*GOOGLEFINANCE(""Currency:HKDEUR""),
IF($D48=""KRW"",'Original Data'!G48*GOOGLEFINANCE(""Currency:KRWEUR""),"""")))))))"),61.465)</f>
        <v>61.465</v>
      </c>
      <c r="H48" s="17">
        <v>7.018</v>
      </c>
      <c r="I48" s="7">
        <v>11.08</v>
      </c>
      <c r="J48" s="9">
        <v>0.0592</v>
      </c>
      <c r="K48" s="7" t="s">
        <v>51</v>
      </c>
      <c r="L48" s="9">
        <v>0.0048</v>
      </c>
      <c r="M48" s="9">
        <v>0.061</v>
      </c>
      <c r="N48" s="8">
        <f>IFERROR(__xludf.DUMMYFUNCTION("IF('Original Data'!N48=""-"",""-"",
IF($D48=""Euro"",'Original Data'!N48,
IF($D48=""Dolar"",'Original Data'!N48*GOOGLEFINANCE(""Currency:USDEUR""),
IF($D48=""Franco Suíço"",'Original Data'!N48*GOOGLEFINANCE(""Currency:CHFEUR""),
IF($D48=""Libra Esterlina"&amp;""", 'Original Data'!N48*GOOGLEFINANCE(""Currency:GBPEUR""),
IF($D48=""Iene"",'Original Data'!N48*GOOGLEFINANCE(""Currency:JPYEUR""),
IF($D48=""HKD"",'Original Data'!N48*GOOGLEFINANCE(""Currency:HKDEUR""),
IF($D48=""KRW"",'Original Data'!N48*GOOGLEFINANCE("&amp;"""Currency:KRWEUR""),""""))))))))"),1.25)</f>
        <v>1.25</v>
      </c>
      <c r="O48" s="8">
        <f>IFERROR(__xludf.DUMMYFUNCTION("IF('Original Data'!O48=""-"",""-"",
IF($D48=""Euro"",'Original Data'!O48,
IF($D48=""Dolar"",'Original Data'!O48*GOOGLEFINANCE(""Currency:USDEUR""),
IF($D48=""Franco Suíço"",'Original Data'!O48*GOOGLEFINANCE(""Currency:CHFEUR""),
IF($D48=""Libra Esterlina"&amp;""", 'Original Data'!O48*GOOGLEFINANCE(""Currency:GBPEUR""),
IF($D48=""Iene"",'Original Data'!O48*GOOGLEFINANCE(""Currency:JPYEUR""),
IF($D48=""HKD"",'Original Data'!O48*GOOGLEFINANCE(""Currency:HKDEUR""),
IF($D48=""KRW"",'Original Data'!O48*GOOGLEFINANCE("&amp;"""Currency:KRWEUR""),""""))))))))"),117.1)</f>
        <v>117.1</v>
      </c>
      <c r="P48" s="8">
        <f>IFERROR(__xludf.DUMMYFUNCTION("IF('Original Data'!P48=""-"",""-"",
IF($D48=""Euro"",'Original Data'!P48,
IF($D48=""Dolar"",'Original Data'!P48*GOOGLEFINANCE(""Currency:USDEUR""),
IF($D48=""Franco Suíço"",'Original Data'!P48*GOOGLEFINANCE(""Currency:CHFEUR""),
IF($D48=""Libra Esterlina"&amp;""", 'Original Data'!P48*GOOGLEFINANCE(""Currency:GBPEUR""),
IF($D48=""Iene"",'Original Data'!P48*GOOGLEFINANCE(""Currency:JPYEUR""),
IF($D48=""HKD"",'Original Data'!P48*GOOGLEFINANCE(""Currency:HKDEUR""),
IF($D48=""KRW"",'Original Data'!P48*GOOGLEFINANCE("&amp;"""Currency:KRWEUR""),""""))))))))"),124.96)</f>
        <v>124.96</v>
      </c>
      <c r="Q48" s="8">
        <f>IFERROR(__xludf.DUMMYFUNCTION("IF('Original Data'!Q48=""-"",""-"",
IF($D48=""Euro"",'Original Data'!Q48,
IF($D48=""Dolar"",'Original Data'!Q48*GOOGLEFINANCE(""Currency:USDEUR""),
IF($D48=""Franco Suíço"",'Original Data'!Q48*GOOGLEFINANCE(""Currency:CHFEUR""),
IF($D48=""Libra Esterlina"&amp;""", 'Original Data'!Q48*GOOGLEFINANCE(""Currency:GBPEUR""),
IF($D48=""Iene"",'Original Data'!Q48*GOOGLEFINANCE(""Currency:JPYEUR""),
IF($D48=""HKD"",'Original Data'!Q48*GOOGLEFINANCE(""Currency:HKDEUR""),
IF($D48=""KRW"",'Original Data'!Q48*GOOGLEFINANCE("&amp;"""Currency:KRWEUR""),""""))))))))"),101.71)</f>
        <v>101.71</v>
      </c>
      <c r="R48" s="8">
        <f>IFERROR(__xludf.DUMMYFUNCTION("IF('Original Data'!R48=""-"",""-"",
IF($D48=""Euro"",'Original Data'!R48,
IF($D48=""Dolar"",'Original Data'!R48*GOOGLEFINANCE(""Currency:USDEUR""),
IF($D48=""Franco Suíço"",'Original Data'!R48*GOOGLEFINANCE(""Currency:CHFEUR""),
IF($D48=""Libra Esterlina"&amp;""", 'Original Data'!R48*GOOGLEFINANCE(""Currency:GBPEUR""),
IF($D48=""Iene"",'Original Data'!R48*GOOGLEFINANCE(""Currency:JPYEUR""),
IF($D48=""HKD"",'Original Data'!R48*GOOGLEFINANCE(""Currency:HKDEUR""),
IF($D48=""KRW"",'Original Data'!R48*GOOGLEFINANCE("&amp;"""Currency:KRWEUR""),""""))))))))"),100.52)</f>
        <v>100.52</v>
      </c>
      <c r="S48" s="8" t="str">
        <f>IFERROR(__xludf.DUMMYFUNCTION("IF('Original Data'!S48=""-"",""-"",
IF($D48=""Euro"",'Original Data'!S48,
IF($D48=""Dolar"",'Original Data'!S48*GOOGLEFINANCE(""Currency:USDEUR""),
IF($D48=""Franco Suíço"",'Original Data'!S48*GOOGLEFINANCE(""Currency:CHFEUR""),
IF($D48=""Libra Esterlina"&amp;""", 'Original Data'!S48*GOOGLEFINANCE(""Currency:GBPEUR""),
IF($D48=""Iene"",'Original Data'!S48*GOOGLEFINANCE(""Currency:JPYEUR""),
IF($D48=""HKD"",'Original Data'!S48*GOOGLEFINANCE(""Currency:HKDEUR""),
IF($D48=""KRW"",'Original Data'!S48*GOOGLEFINANCE("&amp;"""Currency:KRWEUR""),""""))))))))"),"-")</f>
        <v>-</v>
      </c>
      <c r="T48" s="8" t="str">
        <f>IFERROR(__xludf.DUMMYFUNCTION("IF('Original Data'!T48=""-"",""-"",
IF($D48=""Euro"",'Original Data'!T48,
IF($D48=""Dolar"",'Original Data'!T48*GOOGLEFINANCE(""Currency:USDEUR""),
IF($D48=""Franco Suíço"",'Original Data'!T48*GOOGLEFINANCE(""Currency:CHFEUR""),
IF($D48=""Libra Esterlina"&amp;""", 'Original Data'!T48*GOOGLEFINANCE(""Currency:GBPEUR""),
IF($D48=""Iene"",'Original Data'!T48*GOOGLEFINANCE(""Currency:JPYEUR""),
IF($D48=""HKD"",'Original Data'!T48*GOOGLEFINANCE(""Currency:HKDEUR""),
IF($D48=""KRW"",'Original Data'!T48*GOOGLEFINANCE("&amp;"""Currency:KRWEUR""),""""))))))))"),"-")</f>
        <v>-</v>
      </c>
      <c r="U48" s="8" t="str">
        <f>IFERROR(__xludf.DUMMYFUNCTION("IF('Original Data'!U48=""-"",""-"",
IF($D48=""Euro"",'Original Data'!U48,
IF($D48=""Dolar"",'Original Data'!U48*GOOGLEFINANCE(""Currency:USDEUR""),
IF($D48=""Franco Suíço"",'Original Data'!U48*GOOGLEFINANCE(""Currency:CHFEUR""),
IF($D48=""Libra Esterlina"&amp;""", 'Original Data'!U48*GOOGLEFINANCE(""Currency:GBPEUR""),
IF($D48=""Iene"",'Original Data'!U48*GOOGLEFINANCE(""Currency:JPYEUR""),
IF($D48=""HKD"",'Original Data'!U48*GOOGLEFINANCE(""Currency:HKDEUR""),
IF($D48=""KRW"",'Original Data'!U48*GOOGLEFINANCE("&amp;"""Currency:KRWEUR""),""""))))))))"),"-")</f>
        <v>-</v>
      </c>
      <c r="V48" s="8" t="str">
        <f>IFERROR(__xludf.DUMMYFUNCTION("IF('Original Data'!V48=""-"",""-"",
IF($D48=""Euro"",'Original Data'!V48,
IF($D48=""Dolar"",'Original Data'!V48*GOOGLEFINANCE(""Currency:USDEUR""),
IF($D48=""Franco Suíço"",'Original Data'!V48*GOOGLEFINANCE(""Currency:CHFEUR""),
IF($D48=""Libra Esterlina"&amp;""", 'Original Data'!V48*GOOGLEFINANCE(""Currency:GBPEUR""),
IF($D48=""Iene"",'Original Data'!V48*GOOGLEFINANCE(""Currency:JPYEUR""),
IF($D48=""HKD"",'Original Data'!V48*GOOGLEFINANCE(""Currency:HKDEUR""),
IF($D48=""KRW"",'Original Data'!V48*GOOGLEFINANCE("&amp;"""Currency:KRWEUR""),""""))))))))"),"-")</f>
        <v>-</v>
      </c>
      <c r="W48" s="7" t="s">
        <v>52</v>
      </c>
      <c r="X48" s="7" t="s">
        <v>35</v>
      </c>
      <c r="Y48" s="7" t="s">
        <v>41</v>
      </c>
      <c r="Z48" s="7" t="s">
        <v>41</v>
      </c>
      <c r="AA48" s="7" t="s">
        <v>41</v>
      </c>
      <c r="AB48" s="7" t="s">
        <v>41</v>
      </c>
      <c r="AC48" s="7">
        <v>13.0</v>
      </c>
      <c r="AD48" s="7">
        <v>0.6</v>
      </c>
      <c r="AE48" s="7">
        <v>4.8</v>
      </c>
      <c r="AF48" s="7">
        <v>7.8</v>
      </c>
      <c r="AG48" s="7">
        <v>2.0</v>
      </c>
    </row>
    <row r="49">
      <c r="A49" s="16" t="s">
        <v>186</v>
      </c>
      <c r="B49" s="16" t="s">
        <v>187</v>
      </c>
      <c r="C49" s="16" t="s">
        <v>188</v>
      </c>
      <c r="D49" s="7" t="s">
        <v>40</v>
      </c>
      <c r="E49" s="8">
        <f>IFERROR(__xludf.DUMMYFUNCTION("IF($D49=""Euro"",'Original Data'!E49,
IF($D49=""Dolar"",'Original Data'!E49*GOOGLEFINANCE(""Currency:USDEUR""),
IF($D49=""Franco Suíço"",'Original Data'!E49*GOOGLEFINANCE(""Currency:CHFEUR""),
IF($D49=""Libra Esterlina"", 'Original Data'!E49*GOOGLEFINANCE"&amp;"(""Currency:GBPEUR""),
IF($D49=""Iene"",'Original Data'!E49*GOOGLEFINANCE(""Currency:JPYEUR""),
IF($D49=""HKD"",'Original Data'!E49*GOOGLEFINANCE(""Currency:HKDEUR""),
IF($D49=""KRW"",'Original Data'!E49*GOOGLEFINANCE(""Currency:KRWEUR""),"""")))))))"),19.17034)</f>
        <v>19.17034</v>
      </c>
      <c r="F49" s="8">
        <f>IFERROR(__xludf.DUMMYFUNCTION("IF($D49=""Euro"",'Original Data'!F49,
IF($D49=""Dolar"",'Original Data'!F49*GOOGLEFINANCE(""Currency:USDEUR""),
IF($D49=""Franco Suíço"",'Original Data'!F49*GOOGLEFINANCE(""Currency:CHFEUR""),
IF($D49=""Libra Esterlina"", 'Original Data'!F49*GOOGLEFINANCE"&amp;"(""Currency:GBPEUR""),
IF($D49=""Iene"",'Original Data'!F49*GOOGLEFINANCE(""Currency:JPYEUR""),
IF($D49=""HKD"",'Original Data'!F49*GOOGLEFINANCE(""Currency:HKDEUR""),
IF($D49=""KRW"",'Original Data'!F49*GOOGLEFINANCE(""Currency:KRWEUR""),"""")))))))"),200.77392999999998)</f>
        <v>200.77393</v>
      </c>
      <c r="G49" s="8">
        <f>IFERROR(__xludf.DUMMYFUNCTION("IF($D49=""Euro"",'Original Data'!G49,
IF($D49=""Dolar"",'Original Data'!G49*GOOGLEFINANCE(""Currency:USDEUR""),
IF($D49=""Franco Suíço"",'Original Data'!G49*GOOGLEFINANCE(""Currency:CHFEUR""),
IF($D49=""Libra Esterlina"", 'Original Data'!G49*GOOGLEFINANCE"&amp;"(""Currency:GBPEUR""),
IF($D49=""Iene"",'Original Data'!G49*GOOGLEFINANCE(""Currency:JPYEUR""),
IF($D49=""HKD"",'Original Data'!G49*GOOGLEFINANCE(""Currency:HKDEUR""),
IF($D49=""KRW"",'Original Data'!G49*GOOGLEFINANCE(""Currency:KRWEUR""),"""")))))))"),427.55004599999995)</f>
        <v>427.550046</v>
      </c>
      <c r="H49" s="17">
        <v>9.331</v>
      </c>
      <c r="I49" s="7">
        <v>35.59</v>
      </c>
      <c r="J49" s="9">
        <v>0.0069</v>
      </c>
      <c r="K49" s="9">
        <v>0.1725</v>
      </c>
      <c r="L49" s="9">
        <v>0.1435</v>
      </c>
      <c r="M49" s="9">
        <v>0.344</v>
      </c>
      <c r="N49" s="8">
        <f>IFERROR(__xludf.DUMMYFUNCTION("IF('Original Data'!N49=""-"",""-"",
IF($D49=""Euro"",'Original Data'!N49,
IF($D49=""Dolar"",'Original Data'!N49*GOOGLEFINANCE(""Currency:USDEUR""),
IF($D49=""Franco Suíço"",'Original Data'!N49*GOOGLEFINANCE(""Currency:CHFEUR""),
IF($D49=""Libra Esterlina"&amp;""", 'Original Data'!N49*GOOGLEFINANCE(""Currency:GBPEUR""),
IF($D49=""Iene"",'Original Data'!N49*GOOGLEFINANCE(""Currency:JPYEUR""),
IF($D49=""HKD"",'Original Data'!N49*GOOGLEFINANCE(""Currency:HKDEUR""),
IF($D49=""KRW"",'Original Data'!N49*GOOGLEFINANCE("&amp;"""Currency:KRWEUR""),""""))))))))"),5.183159999999999)</f>
        <v>5.18316</v>
      </c>
      <c r="O49" s="8">
        <f>IFERROR(__xludf.DUMMYFUNCTION("IF('Original Data'!O49=""-"",""-"",
IF($D49=""Euro"",'Original Data'!O49,
IF($D49=""Dolar"",'Original Data'!O49*GOOGLEFINANCE(""Currency:USDEUR""),
IF($D49=""Franco Suíço"",'Original Data'!O49*GOOGLEFINANCE(""Currency:CHFEUR""),
IF($D49=""Libra Esterlina"&amp;""", 'Original Data'!O49*GOOGLEFINANCE(""Currency:GBPEUR""),
IF($D49=""Iene"",'Original Data'!O49*GOOGLEFINANCE(""Currency:JPYEUR""),
IF($D49=""HKD"",'Original Data'!O49*GOOGLEFINANCE(""Currency:HKDEUR""),
IF($D49=""KRW"",'Original Data'!O49*GOOGLEFINANCE("&amp;"""Currency:KRWEUR""),""""))))))))"),18.940589999999997)</f>
        <v>18.94059</v>
      </c>
      <c r="P49" s="8">
        <f>IFERROR(__xludf.DUMMYFUNCTION("IF('Original Data'!P49=""-"",""-"",
IF($D49=""Euro"",'Original Data'!P49,
IF($D49=""Dolar"",'Original Data'!P49*GOOGLEFINANCE(""Currency:USDEUR""),
IF($D49=""Franco Suíço"",'Original Data'!P49*GOOGLEFINANCE(""Currency:CHFEUR""),
IF($D49=""Libra Esterlina"&amp;""", 'Original Data'!P49*GOOGLEFINANCE(""Currency:GBPEUR""),
IF($D49=""Iene"",'Original Data'!P49*GOOGLEFINANCE(""Currency:JPYEUR""),
IF($D49=""HKD"",'Original Data'!P49*GOOGLEFINANCE(""Currency:HKDEUR""),
IF($D49=""KRW"",'Original Data'!P49*GOOGLEFINANCE("&amp;"""Currency:KRWEUR""),""""))))))))"),21.11862)</f>
        <v>21.11862</v>
      </c>
      <c r="Q49" s="8">
        <f>IFERROR(__xludf.DUMMYFUNCTION("IF('Original Data'!Q49=""-"",""-"",
IF($D49=""Euro"",'Original Data'!Q49,
IF($D49=""Dolar"",'Original Data'!Q49*GOOGLEFINANCE(""Currency:USDEUR""),
IF($D49=""Franco Suíço"",'Original Data'!Q49*GOOGLEFINANCE(""Currency:CHFEUR""),
IF($D49=""Libra Esterlina"&amp;""", 'Original Data'!Q49*GOOGLEFINANCE(""Currency:GBPEUR""),
IF($D49=""Iene"",'Original Data'!Q49*GOOGLEFINANCE(""Currency:JPYEUR""),
IF($D49=""HKD"",'Original Data'!Q49*GOOGLEFINANCE(""Currency:HKDEUR""),
IF($D49=""KRW"",'Original Data'!Q49*GOOGLEFINANCE("&amp;"""Currency:KRWEUR""),""""))))))))"),20.08015)</f>
        <v>20.08015</v>
      </c>
      <c r="R49" s="8">
        <f>IFERROR(__xludf.DUMMYFUNCTION("IF('Original Data'!R49=""-"",""-"",
IF($D49=""Euro"",'Original Data'!R49,
IF($D49=""Dolar"",'Original Data'!R49*GOOGLEFINANCE(""Currency:USDEUR""),
IF($D49=""Franco Suíço"",'Original Data'!R49*GOOGLEFINANCE(""Currency:CHFEUR""),
IF($D49=""Libra Esterlina"&amp;""", 'Original Data'!R49*GOOGLEFINANCE(""Currency:GBPEUR""),
IF($D49=""Iene"",'Original Data'!R49*GOOGLEFINANCE(""Currency:JPYEUR""),
IF($D49=""HKD"",'Original Data'!R49*GOOGLEFINANCE(""Currency:HKDEUR""),
IF($D49=""KRW"",'Original Data'!R49*GOOGLEFINANCE("&amp;"""Currency:KRWEUR""),""""))))))))"),22.157089999999997)</f>
        <v>22.15709</v>
      </c>
      <c r="S49" s="8">
        <f>IFERROR(__xludf.DUMMYFUNCTION("IF('Original Data'!S49=""-"",""-"",
IF($D49=""Euro"",'Original Data'!S49,
IF($D49=""Dolar"",'Original Data'!S49*GOOGLEFINANCE(""Currency:USDEUR""),
IF($D49=""Franco Suíço"",'Original Data'!S49*GOOGLEFINANCE(""Currency:CHFEUR""),
IF($D49=""Libra Esterlina"&amp;""", 'Original Data'!S49*GOOGLEFINANCE(""Currency:GBPEUR""),
IF($D49=""Iene"",'Original Data'!S49*GOOGLEFINANCE(""Currency:JPYEUR""),
IF($D49=""HKD"",'Original Data'!S49*GOOGLEFINANCE(""Currency:HKDEUR""),
IF($D49=""KRW"",'Original Data'!S49*GOOGLEFINANCE("&amp;"""Currency:KRWEUR""),""""))))))))"),13.022229999999999)</f>
        <v>13.02223</v>
      </c>
      <c r="T49" s="8">
        <f>IFERROR(__xludf.DUMMYFUNCTION("IF('Original Data'!T49=""-"",""-"",
IF($D49=""Euro"",'Original Data'!T49,
IF($D49=""Dolar"",'Original Data'!T49*GOOGLEFINANCE(""Currency:USDEUR""),
IF($D49=""Franco Suíço"",'Original Data'!T49*GOOGLEFINANCE(""Currency:CHFEUR""),
IF($D49=""Libra Esterlina"&amp;""", 'Original Data'!T49*GOOGLEFINANCE(""Currency:GBPEUR""),
IF($D49=""Iene"",'Original Data'!T49*GOOGLEFINANCE(""Currency:JPYEUR""),
IF($D49=""HKD"",'Original Data'!T49*GOOGLEFINANCE(""Currency:HKDEUR""),
IF($D49=""KRW"",'Original Data'!T49*GOOGLEFINANCE("&amp;"""Currency:KRWEUR""),""""))))))))"),14.759139999999997)</f>
        <v>14.75914</v>
      </c>
      <c r="U49" s="8">
        <f>IFERROR(__xludf.DUMMYFUNCTION("IF('Original Data'!U49=""-"",""-"",
IF($D49=""Euro"",'Original Data'!U49,
IF($D49=""Dolar"",'Original Data'!U49*GOOGLEFINANCE(""Currency:USDEUR""),
IF($D49=""Franco Suíço"",'Original Data'!U49*GOOGLEFINANCE(""Currency:CHFEUR""),
IF($D49=""Libra Esterlina"&amp;""", 'Original Data'!U49*GOOGLEFINANCE(""Currency:GBPEUR""),
IF($D49=""Iene"",'Original Data'!U49*GOOGLEFINANCE(""Currency:JPYEUR""),
IF($D49=""HKD"",'Original Data'!U49*GOOGLEFINANCE(""Currency:HKDEUR""),
IF($D49=""KRW"",'Original Data'!U49*GOOGLEFINANCE("&amp;"""Currency:KRWEUR""),""""))))))))"),13.674719999999999)</f>
        <v>13.67472</v>
      </c>
      <c r="V49" s="8">
        <f>IFERROR(__xludf.DUMMYFUNCTION("IF('Original Data'!V49=""-"",""-"",
IF($D49=""Euro"",'Original Data'!V49,
IF($D49=""Dolar"",'Original Data'!V49*GOOGLEFINANCE(""Currency:USDEUR""),
IF($D49=""Franco Suíço"",'Original Data'!V49*GOOGLEFINANCE(""Currency:CHFEUR""),
IF($D49=""Libra Esterlina"&amp;""", 'Original Data'!V49*GOOGLEFINANCE(""Currency:GBPEUR""),
IF($D49=""Iene"",'Original Data'!V49*GOOGLEFINANCE(""Currency:JPYEUR""),
IF($D49=""HKD"",'Original Data'!V49*GOOGLEFINANCE(""Currency:HKDEUR""),
IF($D49=""KRW"",'Original Data'!V49*GOOGLEFINANCE("&amp;"""Currency:KRWEUR""),""""))))))))"),15.282969999999997)</f>
        <v>15.28297</v>
      </c>
      <c r="W49" s="7" t="s">
        <v>35</v>
      </c>
      <c r="X49" s="7" t="s">
        <v>34</v>
      </c>
      <c r="Y49" s="7" t="s">
        <v>41</v>
      </c>
      <c r="Z49" s="7" t="s">
        <v>41</v>
      </c>
      <c r="AA49" s="7" t="s">
        <v>41</v>
      </c>
      <c r="AB49" s="7" t="s">
        <v>41</v>
      </c>
      <c r="AC49" s="7">
        <v>16.0</v>
      </c>
      <c r="AD49" s="7">
        <v>0.7</v>
      </c>
      <c r="AE49" s="7">
        <v>7.8</v>
      </c>
      <c r="AF49" s="7">
        <v>7.5</v>
      </c>
      <c r="AG49" s="7">
        <v>3.0</v>
      </c>
    </row>
    <row r="50">
      <c r="A50" s="16" t="s">
        <v>189</v>
      </c>
      <c r="B50" s="16" t="s">
        <v>190</v>
      </c>
      <c r="C50" s="16" t="s">
        <v>191</v>
      </c>
      <c r="D50" s="7" t="s">
        <v>124</v>
      </c>
      <c r="E50" s="8">
        <f>IFERROR(__xludf.DUMMYFUNCTION("IF($D50=""Euro"",'Original Data'!E50,
IF($D50=""Dolar"",'Original Data'!E50*GOOGLEFINANCE(""Currency:USDEUR""),
IF($D50=""Franco Suíço"",'Original Data'!E50*GOOGLEFINANCE(""Currency:CHFEUR""),
IF($D50=""Libra Esterlina"", 'Original Data'!E50*GOOGLEFINANCE"&amp;"(""Currency:GBPEUR""),
IF($D50=""Iene"",'Original Data'!E50*GOOGLEFINANCE(""Currency:JPYEUR""),
IF($D50=""HKD"",'Original Data'!E50*GOOGLEFINANCE(""Currency:HKDEUR""),
IF($D50=""KRW"",'Original Data'!E50*GOOGLEFINANCE(""Currency:KRWEUR""),"""")))))))"),375.29136832)</f>
        <v>375.2913683</v>
      </c>
      <c r="F50" s="8">
        <f>IFERROR(__xludf.DUMMYFUNCTION("IF($D50=""Euro"",'Original Data'!F50,
IF($D50=""Dolar"",'Original Data'!F50*GOOGLEFINANCE(""Currency:USDEUR""),
IF($D50=""Franco Suíço"",'Original Data'!F50*GOOGLEFINANCE(""Currency:CHFEUR""),
IF($D50=""Libra Esterlina"", 'Original Data'!F50*GOOGLEFINANCE"&amp;"(""Currency:GBPEUR""),
IF($D50=""Iene"",'Original Data'!F50*GOOGLEFINANCE(""Currency:JPYEUR""),
IF($D50=""HKD"",'Original Data'!F50*GOOGLEFINANCE(""Currency:HKDEUR""),
IF($D50=""KRW"",'Original Data'!F50*GOOGLEFINANCE(""Currency:KRWEUR""),"""")))))))"),936.5465772800001)</f>
        <v>936.5465773</v>
      </c>
      <c r="G50" s="8">
        <f>IFERROR(__xludf.DUMMYFUNCTION("IF($D50=""Euro"",'Original Data'!G50,
IF($D50=""Dolar"",'Original Data'!G50*GOOGLEFINANCE(""Currency:USDEUR""),
IF($D50=""Franco Suíço"",'Original Data'!G50*GOOGLEFINANCE(""Currency:CHFEUR""),
IF($D50=""Libra Esterlina"", 'Original Data'!G50*GOOGLEFINANCE"&amp;"(""Currency:GBPEUR""),
IF($D50=""Iene"",'Original Data'!G50*GOOGLEFINANCE(""Currency:JPYEUR""),
IF($D50=""HKD"",'Original Data'!G50*GOOGLEFINANCE(""Currency:HKDEUR""),
IF($D50=""KRW"",'Original Data'!G50*GOOGLEFINANCE(""Currency:KRWEUR""),"""")))))))"),7.0925743872)</f>
        <v>7.092574387</v>
      </c>
      <c r="H50" s="17">
        <v>2.449</v>
      </c>
      <c r="I50" s="7">
        <v>37.3</v>
      </c>
      <c r="J50" s="9">
        <v>0.0259</v>
      </c>
      <c r="K50" s="9">
        <v>0.0548</v>
      </c>
      <c r="L50" s="9">
        <v>0.0437</v>
      </c>
      <c r="M50" s="9">
        <v>0.0809</v>
      </c>
      <c r="N50" s="8">
        <f>IFERROR(__xludf.DUMMYFUNCTION("IF('Original Data'!N50=""-"",""-"",
IF($D50=""Euro"",'Original Data'!N50,
IF($D50=""Dolar"",'Original Data'!N50*GOOGLEFINANCE(""Currency:USDEUR""),
IF($D50=""Franco Suíço"",'Original Data'!N50*GOOGLEFINANCE(""Currency:CHFEUR""),
IF($D50=""Libra Esterlina"&amp;""", 'Original Data'!N50*GOOGLEFINANCE(""Currency:GBPEUR""),
IF($D50=""Iene"",'Original Data'!N50*GOOGLEFINANCE(""Currency:JPYEUR""),
IF($D50=""HKD"",'Original Data'!N50*GOOGLEFINANCE(""Currency:HKDEUR""),
IF($D50=""KRW"",'Original Data'!N50*GOOGLEFINANCE("&amp;"""Currency:KRWEUR""),""""))))))))"),0.252276528)</f>
        <v>0.252276528</v>
      </c>
      <c r="O50" s="8">
        <f>IFERROR(__xludf.DUMMYFUNCTION("IF('Original Data'!O50=""-"",""-"",
IF($D50=""Euro"",'Original Data'!O50,
IF($D50=""Dolar"",'Original Data'!O50*GOOGLEFINANCE(""Currency:USDEUR""),
IF($D50=""Franco Suíço"",'Original Data'!O50*GOOGLEFINANCE(""Currency:CHFEUR""),
IF($D50=""Libra Esterlina"&amp;""", 'Original Data'!O50*GOOGLEFINANCE(""Currency:GBPEUR""),
IF($D50=""Iene"",'Original Data'!O50*GOOGLEFINANCE(""Currency:JPYEUR""),
IF($D50=""HKD"",'Original Data'!O50*GOOGLEFINANCE(""Currency:HKDEUR""),
IF($D50=""KRW"",'Original Data'!O50*GOOGLEFINANCE("&amp;"""Currency:KRWEUR""),""""))))))))"),4.961438384)</f>
        <v>4.961438384</v>
      </c>
      <c r="P50" s="8">
        <f>IFERROR(__xludf.DUMMYFUNCTION("IF('Original Data'!P50=""-"",""-"",
IF($D50=""Euro"",'Original Data'!P50,
IF($D50=""Dolar"",'Original Data'!P50*GOOGLEFINANCE(""Currency:USDEUR""),
IF($D50=""Franco Suíço"",'Original Data'!P50*GOOGLEFINANCE(""Currency:CHFEUR""),
IF($D50=""Libra Esterlina"&amp;""", 'Original Data'!P50*GOOGLEFINANCE(""Currency:GBPEUR""),
IF($D50=""Iene"",'Original Data'!P50*GOOGLEFINANCE(""Currency:JPYEUR""),
IF($D50=""HKD"",'Original Data'!P50*GOOGLEFINANCE(""Currency:HKDEUR""),
IF($D50=""KRW"",'Original Data'!P50*GOOGLEFINANCE("&amp;"""Currency:KRWEUR""),""""))))))))"),4.6490960160000006)</f>
        <v>4.649096016</v>
      </c>
      <c r="Q50" s="8">
        <f>IFERROR(__xludf.DUMMYFUNCTION("IF('Original Data'!Q50=""-"",""-"",
IF($D50=""Euro"",'Original Data'!Q50,
IF($D50=""Dolar"",'Original Data'!Q50*GOOGLEFINANCE(""Currency:USDEUR""),
IF($D50=""Franco Suíço"",'Original Data'!Q50*GOOGLEFINANCE(""Currency:CHFEUR""),
IF($D50=""Libra Esterlina"&amp;""", 'Original Data'!Q50*GOOGLEFINANCE(""Currency:GBPEUR""),
IF($D50=""Iene"",'Original Data'!Q50*GOOGLEFINANCE(""Currency:JPYEUR""),
IF($D50=""HKD"",'Original Data'!Q50*GOOGLEFINANCE(""Currency:HKDEUR""),
IF($D50=""KRW"",'Original Data'!Q50*GOOGLEFINANCE("&amp;"""Currency:KRWEUR""),""""))))))))"),4.08447712)</f>
        <v>4.08447712</v>
      </c>
      <c r="R50" s="8">
        <f>IFERROR(__xludf.DUMMYFUNCTION("IF('Original Data'!R50=""-"",""-"",
IF($D50=""Euro"",'Original Data'!R50,
IF($D50=""Dolar"",'Original Data'!R50*GOOGLEFINANCE(""Currency:USDEUR""),
IF($D50=""Franco Suíço"",'Original Data'!R50*GOOGLEFINANCE(""Currency:CHFEUR""),
IF($D50=""Libra Esterlina"&amp;""", 'Original Data'!R50*GOOGLEFINANCE(""Currency:GBPEUR""),
IF($D50=""Iene"",'Original Data'!R50*GOOGLEFINANCE(""Currency:JPYEUR""),
IF($D50=""HKD"",'Original Data'!R50*GOOGLEFINANCE(""Currency:HKDEUR""),
IF($D50=""KRW"",'Original Data'!R50*GOOGLEFINANCE("&amp;"""Currency:KRWEUR""),""""))))))))"),4.120516624)</f>
        <v>4.120516624</v>
      </c>
      <c r="S50" s="8">
        <f>IFERROR(__xludf.DUMMYFUNCTION("IF('Original Data'!S50=""-"",""-"",
IF($D50=""Euro"",'Original Data'!S50,
IF($D50=""Dolar"",'Original Data'!S50*GOOGLEFINANCE(""Currency:USDEUR""),
IF($D50=""Franco Suíço"",'Original Data'!S50*GOOGLEFINANCE(""Currency:CHFEUR""),
IF($D50=""Libra Esterlina"&amp;""", 'Original Data'!S50*GOOGLEFINANCE(""Currency:GBPEUR""),
IF($D50=""Iene"",'Original Data'!S50*GOOGLEFINANCE(""Currency:JPYEUR""),
IF($D50=""HKD"",'Original Data'!S50*GOOGLEFINANCE(""Currency:HKDEUR""),
IF($D50=""KRW"",'Original Data'!S50*GOOGLEFINANCE("&amp;"""Currency:KRWEUR""),""""))))))))"),1.117224624)</f>
        <v>1.117224624</v>
      </c>
      <c r="T50" s="8">
        <f>IFERROR(__xludf.DUMMYFUNCTION("IF('Original Data'!T50=""-"",""-"",
IF($D50=""Euro"",'Original Data'!T50,
IF($D50=""Dolar"",'Original Data'!T50*GOOGLEFINANCE(""Currency:USDEUR""),
IF($D50=""Franco Suíço"",'Original Data'!T50*GOOGLEFINANCE(""Currency:CHFEUR""),
IF($D50=""Libra Esterlina"&amp;""", 'Original Data'!T50*GOOGLEFINANCE(""Currency:GBPEUR""),
IF($D50=""Iene"",'Original Data'!T50*GOOGLEFINANCE(""Currency:JPYEUR""),
IF($D50=""HKD"",'Original Data'!T50*GOOGLEFINANCE(""Currency:HKDEUR""),
IF($D50=""KRW"",'Original Data'!T50*GOOGLEFINANCE("&amp;"""Currency:KRWEUR""),""""))))))))"),1.165277296)</f>
        <v>1.165277296</v>
      </c>
      <c r="U50" s="8">
        <f>IFERROR(__xludf.DUMMYFUNCTION("IF('Original Data'!U50=""-"",""-"",
IF($D50=""Euro"",'Original Data'!U50,
IF($D50=""Dolar"",'Original Data'!U50*GOOGLEFINANCE(""Currency:USDEUR""),
IF($D50=""Franco Suíço"",'Original Data'!U50*GOOGLEFINANCE(""Currency:CHFEUR""),
IF($D50=""Libra Esterlina"&amp;""", 'Original Data'!U50*GOOGLEFINANCE(""Currency:GBPEUR""),
IF($D50=""Iene"",'Original Data'!U50*GOOGLEFINANCE(""Currency:JPYEUR""),
IF($D50=""HKD"",'Original Data'!U50*GOOGLEFINANCE(""Currency:HKDEUR""),
IF($D50=""KRW"",'Original Data'!U50*GOOGLEFINANCE("&amp;"""Currency:KRWEUR""),""""))))))))"),0.9370271040000001)</f>
        <v>0.937027104</v>
      </c>
      <c r="V50" s="8">
        <f>IFERROR(__xludf.DUMMYFUNCTION("IF('Original Data'!V50=""-"",""-"",
IF($D50=""Euro"",'Original Data'!V50,
IF($D50=""Dolar"",'Original Data'!V50*GOOGLEFINANCE(""Currency:USDEUR""),
IF($D50=""Franco Suíço"",'Original Data'!V50*GOOGLEFINANCE(""Currency:CHFEUR""),
IF($D50=""Libra Esterlina"&amp;""", 'Original Data'!V50*GOOGLEFINANCE(""Currency:GBPEUR""),
IF($D50=""Iene"",'Original Data'!V50*GOOGLEFINANCE(""Currency:JPYEUR""),
IF($D50=""HKD"",'Original Data'!V50*GOOGLEFINANCE(""Currency:HKDEUR""),
IF($D50=""KRW"",'Original Data'!V50*GOOGLEFINANCE("&amp;"""Currency:KRWEUR""),""""))))))))"),1.1808944144)</f>
        <v>1.180894414</v>
      </c>
      <c r="W50" s="7" t="s">
        <v>43</v>
      </c>
      <c r="X50" s="7" t="s">
        <v>43</v>
      </c>
      <c r="Y50" s="7" t="s">
        <v>43</v>
      </c>
      <c r="Z50" s="7" t="s">
        <v>43</v>
      </c>
      <c r="AA50" s="7" t="s">
        <v>43</v>
      </c>
      <c r="AB50" s="7" t="s">
        <v>43</v>
      </c>
      <c r="AC50" s="7">
        <v>8.0</v>
      </c>
      <c r="AD50" s="7">
        <v>0.0</v>
      </c>
      <c r="AE50" s="7">
        <v>3.3</v>
      </c>
      <c r="AF50" s="7">
        <v>4.3</v>
      </c>
      <c r="AG50" s="7">
        <v>2.0</v>
      </c>
    </row>
    <row r="51">
      <c r="A51" s="16" t="s">
        <v>192</v>
      </c>
      <c r="B51" s="16" t="s">
        <v>193</v>
      </c>
      <c r="C51" s="16" t="s">
        <v>194</v>
      </c>
      <c r="D51" s="7" t="s">
        <v>33</v>
      </c>
      <c r="E51" s="8">
        <f>IFERROR(__xludf.DUMMYFUNCTION("IF($D51=""Euro"",'Original Data'!E51,
IF($D51=""Dolar"",'Original Data'!E51*GOOGLEFINANCE(""Currency:USDEUR""),
IF($D51=""Franco Suíço"",'Original Data'!E51*GOOGLEFINANCE(""Currency:CHFEUR""),
IF($D51=""Libra Esterlina"", 'Original Data'!E51*GOOGLEFINANCE"&amp;"(""Currency:GBPEUR""),
IF($D51=""Iene"",'Original Data'!E51*GOOGLEFINANCE(""Currency:JPYEUR""),
IF($D51=""HKD"",'Original Data'!E51*GOOGLEFINANCE(""Currency:HKDEUR""),
IF($D51=""KRW"",'Original Data'!E51*GOOGLEFINANCE(""Currency:KRWEUR""),"""")))))))"),14.51)</f>
        <v>14.51</v>
      </c>
      <c r="F51" s="8">
        <f>IFERROR(__xludf.DUMMYFUNCTION("IF($D51=""Euro"",'Original Data'!F51,
IF($D51=""Dolar"",'Original Data'!F51*GOOGLEFINANCE(""Currency:USDEUR""),
IF($D51=""Franco Suíço"",'Original Data'!F51*GOOGLEFINANCE(""Currency:CHFEUR""),
IF($D51=""Libra Esterlina"", 'Original Data'!F51*GOOGLEFINANCE"&amp;"(""Currency:GBPEUR""),
IF($D51=""Iene"",'Original Data'!F51*GOOGLEFINANCE(""Currency:JPYEUR""),
IF($D51=""HKD"",'Original Data'!F51*GOOGLEFINANCE(""Currency:HKDEUR""),
IF($D51=""KRW"",'Original Data'!F51*GOOGLEFINANCE(""Currency:KRWEUR""),"""")))))))"),5.2)</f>
        <v>5.2</v>
      </c>
      <c r="G51" s="8">
        <f>IFERROR(__xludf.DUMMYFUNCTION("IF($D51=""Euro"",'Original Data'!G51,
IF($D51=""Dolar"",'Original Data'!G51*GOOGLEFINANCE(""Currency:USDEUR""),
IF($D51=""Franco Suíço"",'Original Data'!G51*GOOGLEFINANCE(""Currency:CHFEUR""),
IF($D51=""Libra Esterlina"", 'Original Data'!G51*GOOGLEFINANCE"&amp;"(""Currency:GBPEUR""),
IF($D51=""Iene"",'Original Data'!G51*GOOGLEFINANCE(""Currency:JPYEUR""),
IF($D51=""HKD"",'Original Data'!G51*GOOGLEFINANCE(""Currency:HKDEUR""),
IF($D51=""KRW"",'Original Data'!G51*GOOGLEFINANCE(""Currency:KRWEUR""),"""")))))))"),33.66)</f>
        <v>33.66</v>
      </c>
      <c r="H51" s="17">
        <v>26.465</v>
      </c>
      <c r="I51" s="7">
        <v>7.75</v>
      </c>
      <c r="J51" s="9">
        <v>0.0688</v>
      </c>
      <c r="K51" s="7" t="s">
        <v>51</v>
      </c>
      <c r="L51" s="9">
        <v>0.0072</v>
      </c>
      <c r="M51" s="9">
        <v>0.0858</v>
      </c>
      <c r="N51" s="8">
        <f>IFERROR(__xludf.DUMMYFUNCTION("IF('Original Data'!N51=""-"",""-"",
IF($D51=""Euro"",'Original Data'!N51,
IF($D51=""Dolar"",'Original Data'!N51*GOOGLEFINANCE(""Currency:USDEUR""),
IF($D51=""Franco Suíço"",'Original Data'!N51*GOOGLEFINANCE(""Currency:CHFEUR""),
IF($D51=""Libra Esterlina"&amp;""", 'Original Data'!N51*GOOGLEFINANCE(""Currency:GBPEUR""),
IF($D51=""Iene"",'Original Data'!N51*GOOGLEFINANCE(""Currency:JPYEUR""),
IF($D51=""HKD"",'Original Data'!N51*GOOGLEFINANCE(""Currency:HKDEUR""),
IF($D51=""KRW"",'Original Data'!N51*GOOGLEFINANCE("&amp;"""Currency:KRWEUR""),""""))))))))"),0.6)</f>
        <v>0.6</v>
      </c>
      <c r="O51" s="8">
        <f>IFERROR(__xludf.DUMMYFUNCTION("IF('Original Data'!O51=""-"",""-"",
IF($D51=""Euro"",'Original Data'!O51,
IF($D51=""Dolar"",'Original Data'!O51*GOOGLEFINANCE(""Currency:USDEUR""),
IF($D51=""Franco Suíço"",'Original Data'!O51*GOOGLEFINANCE(""Currency:CHFEUR""),
IF($D51=""Libra Esterlina"&amp;""", 'Original Data'!O51*GOOGLEFINANCE(""Currency:GBPEUR""),
IF($D51=""Iene"",'Original Data'!O51*GOOGLEFINANCE(""Currency:JPYEUR""),
IF($D51=""HKD"",'Original Data'!O51*GOOGLEFINANCE(""Currency:HKDEUR""),
IF($D51=""KRW"",'Original Data'!O51*GOOGLEFINANCE("&amp;"""Currency:KRWEUR""),""""))))))))"),29.99)</f>
        <v>29.99</v>
      </c>
      <c r="P51" s="8">
        <f>IFERROR(__xludf.DUMMYFUNCTION("IF('Original Data'!P51=""-"",""-"",
IF($D51=""Euro"",'Original Data'!P51,
IF($D51=""Dolar"",'Original Data'!P51*GOOGLEFINANCE(""Currency:USDEUR""),
IF($D51=""Franco Suíço"",'Original Data'!P51*GOOGLEFINANCE(""Currency:CHFEUR""),
IF($D51=""Libra Esterlina"&amp;""", 'Original Data'!P51*GOOGLEFINANCE(""Currency:GBPEUR""),
IF($D51=""Iene"",'Original Data'!P51*GOOGLEFINANCE(""Currency:JPYEUR""),
IF($D51=""HKD"",'Original Data'!P51*GOOGLEFINANCE(""Currency:HKDEUR""),
IF($D51=""KRW"",'Original Data'!P51*GOOGLEFINANCE("&amp;"""Currency:KRWEUR""),""""))))))))"),27.91)</f>
        <v>27.91</v>
      </c>
      <c r="Q51" s="8">
        <f>IFERROR(__xludf.DUMMYFUNCTION("IF('Original Data'!Q51=""-"",""-"",
IF($D51=""Euro"",'Original Data'!Q51,
IF($D51=""Dolar"",'Original Data'!Q51*GOOGLEFINANCE(""Currency:USDEUR""),
IF($D51=""Franco Suíço"",'Original Data'!Q51*GOOGLEFINANCE(""Currency:CHFEUR""),
IF($D51=""Libra Esterlina"&amp;""", 'Original Data'!Q51*GOOGLEFINANCE(""Currency:GBPEUR""),
IF($D51=""Iene"",'Original Data'!Q51*GOOGLEFINANCE(""Currency:JPYEUR""),
IF($D51=""HKD"",'Original Data'!Q51*GOOGLEFINANCE(""Currency:HKDEUR""),
IF($D51=""KRW"",'Original Data'!Q51*GOOGLEFINANCE("&amp;"""Currency:KRWEUR""),""""))))))))"),22.53)</f>
        <v>22.53</v>
      </c>
      <c r="R51" s="8">
        <f>IFERROR(__xludf.DUMMYFUNCTION("IF('Original Data'!R51=""-"",""-"",
IF($D51=""Euro"",'Original Data'!R51,
IF($D51=""Dolar"",'Original Data'!R51*GOOGLEFINANCE(""Currency:USDEUR""),
IF($D51=""Franco Suíço"",'Original Data'!R51*GOOGLEFINANCE(""Currency:CHFEUR""),
IF($D51=""Libra Esterlina"&amp;""", 'Original Data'!R51*GOOGLEFINANCE(""Currency:GBPEUR""),
IF($D51=""Iene"",'Original Data'!R51*GOOGLEFINANCE(""Currency:JPYEUR""),
IF($D51=""HKD"",'Original Data'!R51*GOOGLEFINANCE(""Currency:HKDEUR""),
IF($D51=""KRW"",'Original Data'!R51*GOOGLEFINANCE("&amp;"""Currency:KRWEUR""),""""))))))))"),23.19)</f>
        <v>23.19</v>
      </c>
      <c r="S51" s="8" t="str">
        <f>IFERROR(__xludf.DUMMYFUNCTION("IF('Original Data'!S51=""-"",""-"",
IF($D51=""Euro"",'Original Data'!S51,
IF($D51=""Dolar"",'Original Data'!S51*GOOGLEFINANCE(""Currency:USDEUR""),
IF($D51=""Franco Suíço"",'Original Data'!S51*GOOGLEFINANCE(""Currency:CHFEUR""),
IF($D51=""Libra Esterlina"&amp;""", 'Original Data'!S51*GOOGLEFINANCE(""Currency:GBPEUR""),
IF($D51=""Iene"",'Original Data'!S51*GOOGLEFINANCE(""Currency:JPYEUR""),
IF($D51=""HKD"",'Original Data'!S51*GOOGLEFINANCE(""Currency:HKDEUR""),
IF($D51=""KRW"",'Original Data'!S51*GOOGLEFINANCE("&amp;"""Currency:KRWEUR""),""""))))))))"),"-")</f>
        <v>-</v>
      </c>
      <c r="T51" s="8" t="str">
        <f>IFERROR(__xludf.DUMMYFUNCTION("IF('Original Data'!T51=""-"",""-"",
IF($D51=""Euro"",'Original Data'!T51,
IF($D51=""Dolar"",'Original Data'!T51*GOOGLEFINANCE(""Currency:USDEUR""),
IF($D51=""Franco Suíço"",'Original Data'!T51*GOOGLEFINANCE(""Currency:CHFEUR""),
IF($D51=""Libra Esterlina"&amp;""", 'Original Data'!T51*GOOGLEFINANCE(""Currency:GBPEUR""),
IF($D51=""Iene"",'Original Data'!T51*GOOGLEFINANCE(""Currency:JPYEUR""),
IF($D51=""HKD"",'Original Data'!T51*GOOGLEFINANCE(""Currency:HKDEUR""),
IF($D51=""KRW"",'Original Data'!T51*GOOGLEFINANCE("&amp;"""Currency:KRWEUR""),""""))))))))"),"-")</f>
        <v>-</v>
      </c>
      <c r="U51" s="8" t="str">
        <f>IFERROR(__xludf.DUMMYFUNCTION("IF('Original Data'!U51=""-"",""-"",
IF($D51=""Euro"",'Original Data'!U51,
IF($D51=""Dolar"",'Original Data'!U51*GOOGLEFINANCE(""Currency:USDEUR""),
IF($D51=""Franco Suíço"",'Original Data'!U51*GOOGLEFINANCE(""Currency:CHFEUR""),
IF($D51=""Libra Esterlina"&amp;""", 'Original Data'!U51*GOOGLEFINANCE(""Currency:GBPEUR""),
IF($D51=""Iene"",'Original Data'!U51*GOOGLEFINANCE(""Currency:JPYEUR""),
IF($D51=""HKD"",'Original Data'!U51*GOOGLEFINANCE(""Currency:HKDEUR""),
IF($D51=""KRW"",'Original Data'!U51*GOOGLEFINANCE("&amp;"""Currency:KRWEUR""),""""))))))))"),"-")</f>
        <v>-</v>
      </c>
      <c r="V51" s="8" t="str">
        <f>IFERROR(__xludf.DUMMYFUNCTION("IF('Original Data'!V51=""-"",""-"",
IF($D51=""Euro"",'Original Data'!V51,
IF($D51=""Dolar"",'Original Data'!V51*GOOGLEFINANCE(""Currency:USDEUR""),
IF($D51=""Franco Suíço"",'Original Data'!V51*GOOGLEFINANCE(""Currency:CHFEUR""),
IF($D51=""Libra Esterlina"&amp;""", 'Original Data'!V51*GOOGLEFINANCE(""Currency:GBPEUR""),
IF($D51=""Iene"",'Original Data'!V51*GOOGLEFINANCE(""Currency:JPYEUR""),
IF($D51=""HKD"",'Original Data'!V51*GOOGLEFINANCE(""Currency:HKDEUR""),
IF($D51=""KRW"",'Original Data'!V51*GOOGLEFINANCE("&amp;"""Currency:KRWEUR""),""""))))))))"),"-")</f>
        <v>-</v>
      </c>
      <c r="W51" s="7" t="s">
        <v>35</v>
      </c>
      <c r="X51" s="7" t="s">
        <v>43</v>
      </c>
      <c r="Y51" s="7" t="s">
        <v>41</v>
      </c>
      <c r="Z51" s="7" t="s">
        <v>41</v>
      </c>
      <c r="AA51" s="7" t="s">
        <v>41</v>
      </c>
      <c r="AB51" s="7" t="s">
        <v>41</v>
      </c>
      <c r="AC51" s="7">
        <v>22.0</v>
      </c>
      <c r="AD51" s="7">
        <v>1.2</v>
      </c>
      <c r="AE51" s="7">
        <v>10.3</v>
      </c>
      <c r="AF51" s="7">
        <v>11.0</v>
      </c>
      <c r="AG51" s="7">
        <v>3.0</v>
      </c>
    </row>
    <row r="52">
      <c r="A52" s="16" t="s">
        <v>195</v>
      </c>
      <c r="B52" s="16" t="s">
        <v>196</v>
      </c>
      <c r="C52" s="16" t="s">
        <v>197</v>
      </c>
      <c r="D52" s="7" t="s">
        <v>124</v>
      </c>
      <c r="E52" s="8">
        <f>IFERROR(__xludf.DUMMYFUNCTION("IF($D52=""Euro"",'Original Data'!E52,
IF($D52=""Dolar"",'Original Data'!E52*GOOGLEFINANCE(""Currency:USDEUR""),
IF($D52=""Franco Suíço"",'Original Data'!E52*GOOGLEFINANCE(""Currency:CHFEUR""),
IF($D52=""Libra Esterlina"", 'Original Data'!E52*GOOGLEFINANCE"&amp;"(""Currency:GBPEUR""),
IF($D52=""Iene"",'Original Data'!E52*GOOGLEFINANCE(""Currency:JPYEUR""),
IF($D52=""HKD"",'Original Data'!E52*GOOGLEFINANCE(""Currency:HKDEUR""),
IF($D52=""KRW"",'Original Data'!E52*GOOGLEFINANCE(""Currency:KRWEUR""),"""")))))))"),360.202829312)</f>
        <v>360.2028293</v>
      </c>
      <c r="F52" s="8">
        <f>IFERROR(__xludf.DUMMYFUNCTION("IF($D52=""Euro"",'Original Data'!F52,
IF($D52=""Dolar"",'Original Data'!F52*GOOGLEFINANCE(""Currency:USDEUR""),
IF($D52=""Franco Suíço"",'Original Data'!F52*GOOGLEFINANCE(""Currency:CHFEUR""),
IF($D52=""Libra Esterlina"", 'Original Data'!F52*GOOGLEFINANCE"&amp;"(""Currency:GBPEUR""),
IF($D52=""Iene"",'Original Data'!F52*GOOGLEFINANCE(""Currency:JPYEUR""),
IF($D52=""HKD"",'Original Data'!F52*GOOGLEFINANCE(""Currency:HKDEUR""),
IF($D52=""KRW"",'Original Data'!F52*GOOGLEFINANCE(""Currency:KRWEUR""),"""")))))))"),529.42031376)</f>
        <v>529.4203138</v>
      </c>
      <c r="G52" s="8">
        <f>IFERROR(__xludf.DUMMYFUNCTION("IF($D52=""Euro"",'Original Data'!G52,
IF($D52=""Dolar"",'Original Data'!G52*GOOGLEFINANCE(""Currency:USDEUR""),
IF($D52=""Franco Suíço"",'Original Data'!G52*GOOGLEFINANCE(""Currency:CHFEUR""),
IF($D52=""Libra Esterlina"", 'Original Data'!G52*GOOGLEFINANCE"&amp;"(""Currency:GBPEUR""),
IF($D52=""Iene"",'Original Data'!G52*GOOGLEFINANCE(""Currency:JPYEUR""),
IF($D52=""HKD"",'Original Data'!G52*GOOGLEFINANCE(""Currency:HKDEUR""),
IF($D52=""KRW"",'Original Data'!G52*GOOGLEFINANCE(""Currency:KRWEUR""),"""")))))))"),19.3616228656)</f>
        <v>19.36162287</v>
      </c>
      <c r="H52" s="17">
        <v>10.399</v>
      </c>
      <c r="I52" s="7">
        <v>8.78</v>
      </c>
      <c r="J52" s="9">
        <v>0.05</v>
      </c>
      <c r="K52" s="7" t="s">
        <v>51</v>
      </c>
      <c r="L52" s="9">
        <v>0.0035</v>
      </c>
      <c r="M52" s="9">
        <v>0.0789</v>
      </c>
      <c r="N52" s="8">
        <f>IFERROR(__xludf.DUMMYFUNCTION("IF('Original Data'!N52=""-"",""-"",
IF($D52=""Euro"",'Original Data'!N52,
IF($D52=""Dolar"",'Original Data'!N52*GOOGLEFINANCE(""Currency:USDEUR""),
IF($D52=""Franco Suíço"",'Original Data'!N52*GOOGLEFINANCE(""Currency:CHFEUR""),
IF($D52=""Libra Esterlina"&amp;""", 'Original Data'!N52*GOOGLEFINANCE(""Currency:GBPEUR""),
IF($D52=""Iene"",'Original Data'!N52*GOOGLEFINANCE(""Currency:JPYEUR""),
IF($D52=""HKD"",'Original Data'!N52*GOOGLEFINANCE(""Currency:HKDEUR""),
IF($D52=""KRW"",'Original Data'!N52*GOOGLEFINANCE("&amp;"""Currency:KRWEUR""),""""))))))))"),0.072079008)</f>
        <v>0.072079008</v>
      </c>
      <c r="O52" s="8">
        <f>IFERROR(__xludf.DUMMYFUNCTION("IF('Original Data'!O52=""-"",""-"",
IF($D52=""Euro"",'Original Data'!O52,
IF($D52=""Dolar"",'Original Data'!O52*GOOGLEFINANCE(""Currency:USDEUR""),
IF($D52=""Franco Suíço"",'Original Data'!O52*GOOGLEFINANCE(""Currency:CHFEUR""),
IF($D52=""Libra Esterlina"&amp;""", 'Original Data'!O52*GOOGLEFINANCE(""Currency:GBPEUR""),
IF($D52=""Iene"",'Original Data'!O52*GOOGLEFINANCE(""Currency:JPYEUR""),
IF($D52=""HKD"",'Original Data'!O52*GOOGLEFINANCE(""Currency:HKDEUR""),
IF($D52=""KRW"",'Original Data'!O52*GOOGLEFINANCE("&amp;"""Currency:KRWEUR""),""""))))))))"),21.972084272)</f>
        <v>21.97208427</v>
      </c>
      <c r="P52" s="8">
        <f>IFERROR(__xludf.DUMMYFUNCTION("IF('Original Data'!P52=""-"",""-"",
IF($D52=""Euro"",'Original Data'!P52,
IF($D52=""Dolar"",'Original Data'!P52*GOOGLEFINANCE(""Currency:USDEUR""),
IF($D52=""Franco Suíço"",'Original Data'!P52*GOOGLEFINANCE(""Currency:CHFEUR""),
IF($D52=""Libra Esterlina"&amp;""", 'Original Data'!P52*GOOGLEFINANCE(""Currency:GBPEUR""),
IF($D52=""Iene"",'Original Data'!P52*GOOGLEFINANCE(""Currency:JPYEUR""),
IF($D52=""HKD"",'Original Data'!P52*GOOGLEFINANCE(""Currency:HKDEUR""),
IF($D52=""KRW"",'Original Data'!P52*GOOGLEFINANCE("&amp;"""Currency:KRWEUR""),""""))))))))"),79.743409184)</f>
        <v>79.74340918</v>
      </c>
      <c r="Q52" s="8">
        <f>IFERROR(__xludf.DUMMYFUNCTION("IF('Original Data'!Q52=""-"",""-"",
IF($D52=""Euro"",'Original Data'!Q52,
IF($D52=""Dolar"",'Original Data'!Q52*GOOGLEFINANCE(""Currency:USDEUR""),
IF($D52=""Franco Suíço"",'Original Data'!Q52*GOOGLEFINANCE(""Currency:CHFEUR""),
IF($D52=""Libra Esterlina"&amp;""", 'Original Data'!Q52*GOOGLEFINANCE(""Currency:GBPEUR""),
IF($D52=""Iene"",'Original Data'!Q52*GOOGLEFINANCE(""Currency:JPYEUR""),
IF($D52=""HKD"",'Original Data'!Q52*GOOGLEFINANCE(""Currency:HKDEUR""),
IF($D52=""KRW"",'Original Data'!Q52*GOOGLEFINANCE("&amp;"""Currency:KRWEUR""),""""))))))))"),37.336926144)</f>
        <v>37.33692614</v>
      </c>
      <c r="R52" s="8">
        <f>IFERROR(__xludf.DUMMYFUNCTION("IF('Original Data'!R52=""-"",""-"",
IF($D52=""Euro"",'Original Data'!R52,
IF($D52=""Dolar"",'Original Data'!R52*GOOGLEFINANCE(""Currency:USDEUR""),
IF($D52=""Franco Suíço"",'Original Data'!R52*GOOGLEFINANCE(""Currency:CHFEUR""),
IF($D52=""Libra Esterlina"&amp;""", 'Original Data'!R52*GOOGLEFINANCE(""Currency:GBPEUR""),
IF($D52=""Iene"",'Original Data'!R52*GOOGLEFINANCE(""Currency:JPYEUR""),
IF($D52=""HKD"",'Original Data'!R52*GOOGLEFINANCE(""Currency:HKDEUR""),
IF($D52=""KRW"",'Original Data'!R52*GOOGLEFINANCE("&amp;"""Currency:KRWEUR""),""""))))))))"),38.418111264000004)</f>
        <v>38.41811126</v>
      </c>
      <c r="S52" s="8" t="str">
        <f>IFERROR(__xludf.DUMMYFUNCTION("IF('Original Data'!S52=""-"",""-"",
IF($D52=""Euro"",'Original Data'!S52,
IF($D52=""Dolar"",'Original Data'!S52*GOOGLEFINANCE(""Currency:USDEUR""),
IF($D52=""Franco Suíço"",'Original Data'!S52*GOOGLEFINANCE(""Currency:CHFEUR""),
IF($D52=""Libra Esterlina"&amp;""", 'Original Data'!S52*GOOGLEFINANCE(""Currency:GBPEUR""),
IF($D52=""Iene"",'Original Data'!S52*GOOGLEFINANCE(""Currency:JPYEUR""),
IF($D52=""HKD"",'Original Data'!S52*GOOGLEFINANCE(""Currency:HKDEUR""),
IF($D52=""KRW"",'Original Data'!S52*GOOGLEFINANCE("&amp;"""Currency:KRWEUR""),""""))))))))"),"-")</f>
        <v>-</v>
      </c>
      <c r="T52" s="8" t="str">
        <f>IFERROR(__xludf.DUMMYFUNCTION("IF('Original Data'!T52=""-"",""-"",
IF($D52=""Euro"",'Original Data'!T52,
IF($D52=""Dolar"",'Original Data'!T52*GOOGLEFINANCE(""Currency:USDEUR""),
IF($D52=""Franco Suíço"",'Original Data'!T52*GOOGLEFINANCE(""Currency:CHFEUR""),
IF($D52=""Libra Esterlina"&amp;""", 'Original Data'!T52*GOOGLEFINANCE(""Currency:GBPEUR""),
IF($D52=""Iene"",'Original Data'!T52*GOOGLEFINANCE(""Currency:JPYEUR""),
IF($D52=""HKD"",'Original Data'!T52*GOOGLEFINANCE(""Currency:HKDEUR""),
IF($D52=""KRW"",'Original Data'!T52*GOOGLEFINANCE("&amp;"""Currency:KRWEUR""),""""))))))))"),"-")</f>
        <v>-</v>
      </c>
      <c r="U52" s="8" t="str">
        <f>IFERROR(__xludf.DUMMYFUNCTION("IF('Original Data'!U52=""-"",""-"",
IF($D52=""Euro"",'Original Data'!U52,
IF($D52=""Dolar"",'Original Data'!U52*GOOGLEFINANCE(""Currency:USDEUR""),
IF($D52=""Franco Suíço"",'Original Data'!U52*GOOGLEFINANCE(""Currency:CHFEUR""),
IF($D52=""Libra Esterlina"&amp;""", 'Original Data'!U52*GOOGLEFINANCE(""Currency:GBPEUR""),
IF($D52=""Iene"",'Original Data'!U52*GOOGLEFINANCE(""Currency:JPYEUR""),
IF($D52=""HKD"",'Original Data'!U52*GOOGLEFINANCE(""Currency:HKDEUR""),
IF($D52=""KRW"",'Original Data'!U52*GOOGLEFINANCE("&amp;"""Currency:KRWEUR""),""""))))))))"),"-")</f>
        <v>-</v>
      </c>
      <c r="V52" s="8" t="str">
        <f>IFERROR(__xludf.DUMMYFUNCTION("IF('Original Data'!V52=""-"",""-"",
IF($D52=""Euro"",'Original Data'!V52,
IF($D52=""Dolar"",'Original Data'!V52*GOOGLEFINANCE(""Currency:USDEUR""),
IF($D52=""Franco Suíço"",'Original Data'!V52*GOOGLEFINANCE(""Currency:CHFEUR""),
IF($D52=""Libra Esterlina"&amp;""", 'Original Data'!V52*GOOGLEFINANCE(""Currency:GBPEUR""),
IF($D52=""Iene"",'Original Data'!V52*GOOGLEFINANCE(""Currency:JPYEUR""),
IF($D52=""HKD"",'Original Data'!V52*GOOGLEFINANCE(""Currency:HKDEUR""),
IF($D52=""KRW"",'Original Data'!V52*GOOGLEFINANCE("&amp;"""Currency:KRWEUR""),""""))))))))"),"-")</f>
        <v>-</v>
      </c>
      <c r="W52" s="7" t="s">
        <v>55</v>
      </c>
      <c r="X52" s="7" t="s">
        <v>52</v>
      </c>
      <c r="Y52" s="7" t="s">
        <v>41</v>
      </c>
      <c r="Z52" s="7" t="s">
        <v>41</v>
      </c>
      <c r="AA52" s="7" t="s">
        <v>41</v>
      </c>
      <c r="AB52" s="7" t="s">
        <v>41</v>
      </c>
      <c r="AC52" s="7">
        <v>17.0</v>
      </c>
      <c r="AD52" s="7">
        <v>1.3</v>
      </c>
      <c r="AE52" s="7">
        <v>9.4</v>
      </c>
      <c r="AF52" s="7">
        <v>6.1</v>
      </c>
      <c r="AG52" s="7">
        <v>2.0</v>
      </c>
    </row>
    <row r="53">
      <c r="A53" s="16" t="s">
        <v>198</v>
      </c>
      <c r="B53" s="16" t="s">
        <v>199</v>
      </c>
      <c r="C53" s="16" t="s">
        <v>200</v>
      </c>
      <c r="D53" s="7" t="s">
        <v>33</v>
      </c>
      <c r="E53" s="8">
        <f>IFERROR(__xludf.DUMMYFUNCTION("IF($D53=""Euro"",'Original Data'!E53,
IF($D53=""Dolar"",'Original Data'!E53*GOOGLEFINANCE(""Currency:USDEUR""),
IF($D53=""Franco Suíço"",'Original Data'!E53*GOOGLEFINANCE(""Currency:CHFEUR""),
IF($D53=""Libra Esterlina"", 'Original Data'!E53*GOOGLEFINANCE"&amp;"(""Currency:GBPEUR""),
IF($D53=""Iene"",'Original Data'!E53*GOOGLEFINANCE(""Currency:JPYEUR""),
IF($D53=""HKD"",'Original Data'!E53*GOOGLEFINANCE(""Currency:HKDEUR""),
IF($D53=""KRW"",'Original Data'!E53*GOOGLEFINANCE(""Currency:KRWEUR""),"""")))))))"),7.41)</f>
        <v>7.41</v>
      </c>
      <c r="F53" s="8">
        <f>IFERROR(__xludf.DUMMYFUNCTION("IF($D53=""Euro"",'Original Data'!F53,
IF($D53=""Dolar"",'Original Data'!F53*GOOGLEFINANCE(""Currency:USDEUR""),
IF($D53=""Franco Suíço"",'Original Data'!F53*GOOGLEFINANCE(""Currency:CHFEUR""),
IF($D53=""Libra Esterlina"", 'Original Data'!F53*GOOGLEFINANCE"&amp;"(""Currency:GBPEUR""),
IF($D53=""Iene"",'Original Data'!F53*GOOGLEFINANCE(""Currency:JPYEUR""),
IF($D53=""HKD"",'Original Data'!F53*GOOGLEFINANCE(""Currency:HKDEUR""),
IF($D53=""KRW"",'Original Data'!F53*GOOGLEFINANCE(""Currency:KRWEUR""),"""")))))))"),31.7)</f>
        <v>31.7</v>
      </c>
      <c r="G53" s="8">
        <f>IFERROR(__xludf.DUMMYFUNCTION("IF($D53=""Euro"",'Original Data'!G53,
IF($D53=""Dolar"",'Original Data'!G53*GOOGLEFINANCE(""Currency:USDEUR""),
IF($D53=""Franco Suíço"",'Original Data'!G53*GOOGLEFINANCE(""Currency:CHFEUR""),
IF($D53=""Libra Esterlina"", 'Original Data'!G53*GOOGLEFINANCE"&amp;"(""Currency:GBPEUR""),
IF($D53=""Iene"",'Original Data'!G53*GOOGLEFINANCE(""Currency:JPYEUR""),
IF($D53=""HKD"",'Original Data'!G53*GOOGLEFINANCE(""Currency:HKDEUR""),
IF($D53=""KRW"",'Original Data'!G53*GOOGLEFINANCE(""Currency:KRWEUR""),"""")))))))"),2.162)</f>
        <v>2.162</v>
      </c>
      <c r="H53" s="17">
        <v>0.136</v>
      </c>
      <c r="I53" s="7">
        <v>26.93</v>
      </c>
      <c r="J53" s="9">
        <v>0.0095</v>
      </c>
      <c r="K53" s="9">
        <v>0.062</v>
      </c>
      <c r="L53" s="9">
        <v>0.0303</v>
      </c>
      <c r="M53" s="9">
        <v>0.115</v>
      </c>
      <c r="N53" s="8">
        <f>IFERROR(__xludf.DUMMYFUNCTION("IF('Original Data'!N53=""-"",""-"",
IF($D53=""Euro"",'Original Data'!N53,
IF($D53=""Dolar"",'Original Data'!N53*GOOGLEFINANCE(""Currency:USDEUR""),
IF($D53=""Franco Suíço"",'Original Data'!N53*GOOGLEFINANCE(""Currency:CHFEUR""),
IF($D53=""Libra Esterlina"&amp;""", 'Original Data'!N53*GOOGLEFINANCE(""Currency:GBPEUR""),
IF($D53=""Iene"",'Original Data'!N53*GOOGLEFINANCE(""Currency:JPYEUR""),
IF($D53=""HKD"",'Original Data'!N53*GOOGLEFINANCE(""Currency:HKDEUR""),
IF($D53=""KRW"",'Original Data'!N53*GOOGLEFINANCE("&amp;"""Currency:KRWEUR""),""""))))))))"),1.2)</f>
        <v>1.2</v>
      </c>
      <c r="O53" s="8">
        <f>IFERROR(__xludf.DUMMYFUNCTION("IF('Original Data'!O53=""-"",""-"",
IF($D53=""Euro"",'Original Data'!O53,
IF($D53=""Dolar"",'Original Data'!O53*GOOGLEFINANCE(""Currency:USDEUR""),
IF($D53=""Franco Suíço"",'Original Data'!O53*GOOGLEFINANCE(""Currency:CHFEUR""),
IF($D53=""Libra Esterlina"&amp;""", 'Original Data'!O53*GOOGLEFINANCE(""Currency:GBPEUR""),
IF($D53=""Iene"",'Original Data'!O53*GOOGLEFINANCE(""Currency:JPYEUR""),
IF($D53=""HKD"",'Original Data'!O53*GOOGLEFINANCE(""Currency:HKDEUR""),
IF($D53=""KRW"",'Original Data'!O53*GOOGLEFINANCE("&amp;"""Currency:KRWEUR""),""""))))))))"),3.87)</f>
        <v>3.87</v>
      </c>
      <c r="P53" s="8">
        <f>IFERROR(__xludf.DUMMYFUNCTION("IF('Original Data'!P53=""-"",""-"",
IF($D53=""Euro"",'Original Data'!P53,
IF($D53=""Dolar"",'Original Data'!P53*GOOGLEFINANCE(""Currency:USDEUR""),
IF($D53=""Franco Suíço"",'Original Data'!P53*GOOGLEFINANCE(""Currency:CHFEUR""),
IF($D53=""Libra Esterlina"&amp;""", 'Original Data'!P53*GOOGLEFINANCE(""Currency:GBPEUR""),
IF($D53=""Iene"",'Original Data'!P53*GOOGLEFINANCE(""Currency:JPYEUR""),
IF($D53=""HKD"",'Original Data'!P53*GOOGLEFINANCE(""Currency:HKDEUR""),
IF($D53=""KRW"",'Original Data'!P53*GOOGLEFINANCE("&amp;"""Currency:KRWEUR""),""""))))))))"),3.92)</f>
        <v>3.92</v>
      </c>
      <c r="Q53" s="8">
        <f>IFERROR(__xludf.DUMMYFUNCTION("IF('Original Data'!Q53=""-"",""-"",
IF($D53=""Euro"",'Original Data'!Q53,
IF($D53=""Dolar"",'Original Data'!Q53*GOOGLEFINANCE(""Currency:USDEUR""),
IF($D53=""Franco Suíço"",'Original Data'!Q53*GOOGLEFINANCE(""Currency:CHFEUR""),
IF($D53=""Libra Esterlina"&amp;""", 'Original Data'!Q53*GOOGLEFINANCE(""Currency:GBPEUR""),
IF($D53=""Iene"",'Original Data'!Q53*GOOGLEFINANCE(""Currency:JPYEUR""),
IF($D53=""HKD"",'Original Data'!Q53*GOOGLEFINANCE(""Currency:HKDEUR""),
IF($D53=""KRW"",'Original Data'!Q53*GOOGLEFINANCE("&amp;"""Currency:KRWEUR""),""""))))))))"),3.32)</f>
        <v>3.32</v>
      </c>
      <c r="R53" s="8">
        <f>IFERROR(__xludf.DUMMYFUNCTION("IF('Original Data'!R53=""-"",""-"",
IF($D53=""Euro"",'Original Data'!R53,
IF($D53=""Dolar"",'Original Data'!R53*GOOGLEFINANCE(""Currency:USDEUR""),
IF($D53=""Franco Suíço"",'Original Data'!R53*GOOGLEFINANCE(""Currency:CHFEUR""),
IF($D53=""Libra Esterlina"&amp;""", 'Original Data'!R53*GOOGLEFINANCE(""Currency:GBPEUR""),
IF($D53=""Iene"",'Original Data'!R53*GOOGLEFINANCE(""Currency:JPYEUR""),
IF($D53=""HKD"",'Original Data'!R53*GOOGLEFINANCE(""Currency:HKDEUR""),
IF($D53=""KRW"",'Original Data'!R53*GOOGLEFINANCE("&amp;"""Currency:KRWEUR""),""""))))))))"),3.54)</f>
        <v>3.54</v>
      </c>
      <c r="S53" s="8">
        <f>IFERROR(__xludf.DUMMYFUNCTION("IF('Original Data'!S53=""-"",""-"",
IF($D53=""Euro"",'Original Data'!S53,
IF($D53=""Dolar"",'Original Data'!S53*GOOGLEFINANCE(""Currency:USDEUR""),
IF($D53=""Franco Suíço"",'Original Data'!S53*GOOGLEFINANCE(""Currency:CHFEUR""),
IF($D53=""Libra Esterlina"&amp;""", 'Original Data'!S53*GOOGLEFINANCE(""Currency:GBPEUR""),
IF($D53=""Iene"",'Original Data'!S53*GOOGLEFINANCE(""Currency:JPYEUR""),
IF($D53=""HKD"",'Original Data'!S53*GOOGLEFINANCE(""Currency:HKDEUR""),
IF($D53=""KRW"",'Original Data'!S53*GOOGLEFINANCE("&amp;"""Currency:KRWEUR""),""""))))))))"),0.34663)</f>
        <v>0.34663</v>
      </c>
      <c r="T53" s="8">
        <f>IFERROR(__xludf.DUMMYFUNCTION("IF('Original Data'!T53=""-"",""-"",
IF($D53=""Euro"",'Original Data'!T53,
IF($D53=""Dolar"",'Original Data'!T53*GOOGLEFINANCE(""Currency:USDEUR""),
IF($D53=""Franco Suíço"",'Original Data'!T53*GOOGLEFINANCE(""Currency:CHFEUR""),
IF($D53=""Libra Esterlina"&amp;""", 'Original Data'!T53*GOOGLEFINANCE(""Currency:GBPEUR""),
IF($D53=""Iene"",'Original Data'!T53*GOOGLEFINANCE(""Currency:JPYEUR""),
IF($D53=""HKD"",'Original Data'!T53*GOOGLEFINANCE(""Currency:HKDEUR""),
IF($D53=""KRW"",'Original Data'!T53*GOOGLEFINANCE("&amp;"""Currency:KRWEUR""),""""))))))))"),0.31601)</f>
        <v>0.31601</v>
      </c>
      <c r="U53" s="8">
        <f>IFERROR(__xludf.DUMMYFUNCTION("IF('Original Data'!U53=""-"",""-"",
IF($D53=""Euro"",'Original Data'!U53,
IF($D53=""Dolar"",'Original Data'!U53*GOOGLEFINANCE(""Currency:USDEUR""),
IF($D53=""Franco Suíço"",'Original Data'!U53*GOOGLEFINANCE(""Currency:CHFEUR""),
IF($D53=""Libra Esterlina"&amp;""", 'Original Data'!U53*GOOGLEFINANCE(""Currency:GBPEUR""),
IF($D53=""Iene"",'Original Data'!U53*GOOGLEFINANCE(""Currency:JPYEUR""),
IF($D53=""HKD"",'Original Data'!U53*GOOGLEFINANCE(""Currency:HKDEUR""),
IF($D53=""KRW"",'Original Data'!U53*GOOGLEFINANCE("&amp;"""Currency:KRWEUR""),""""))))))))"),0.11996)</f>
        <v>0.11996</v>
      </c>
      <c r="V53" s="8">
        <f>IFERROR(__xludf.DUMMYFUNCTION("IF('Original Data'!V53=""-"",""-"",
IF($D53=""Euro"",'Original Data'!V53,
IF($D53=""Dolar"",'Original Data'!V53*GOOGLEFINANCE(""Currency:USDEUR""),
IF($D53=""Franco Suíço"",'Original Data'!V53*GOOGLEFINANCE(""Currency:CHFEUR""),
IF($D53=""Libra Esterlina"&amp;""", 'Original Data'!V53*GOOGLEFINANCE(""Currency:GBPEUR""),
IF($D53=""Iene"",'Original Data'!V53*GOOGLEFINANCE(""Currency:JPYEUR""),
IF($D53=""HKD"",'Original Data'!V53*GOOGLEFINANCE(""Currency:HKDEUR""),
IF($D53=""KRW"",'Original Data'!V53*GOOGLEFINANCE("&amp;"""Currency:KRWEUR""),""""))))))))"),0.28122)</f>
        <v>0.28122</v>
      </c>
      <c r="W53" s="7" t="s">
        <v>52</v>
      </c>
      <c r="X53" s="7" t="s">
        <v>52</v>
      </c>
      <c r="Y53" s="7" t="s">
        <v>41</v>
      </c>
      <c r="Z53" s="7" t="s">
        <v>41</v>
      </c>
      <c r="AA53" s="7" t="s">
        <v>52</v>
      </c>
      <c r="AB53" s="7" t="s">
        <v>42</v>
      </c>
      <c r="AC53" s="7" t="s">
        <v>41</v>
      </c>
      <c r="AD53" s="7" t="s">
        <v>41</v>
      </c>
      <c r="AE53" s="7" t="s">
        <v>41</v>
      </c>
      <c r="AF53" s="7" t="s">
        <v>41</v>
      </c>
      <c r="AG53" s="7" t="s">
        <v>41</v>
      </c>
    </row>
    <row r="54">
      <c r="A54" s="16" t="s">
        <v>201</v>
      </c>
      <c r="B54" s="16" t="s">
        <v>202</v>
      </c>
      <c r="C54" s="16" t="s">
        <v>203</v>
      </c>
      <c r="D54" s="7" t="s">
        <v>40</v>
      </c>
      <c r="E54" s="8">
        <f>IFERROR(__xludf.DUMMYFUNCTION("IF($D54=""Euro"",'Original Data'!E54,
IF($D54=""Dolar"",'Original Data'!E54*GOOGLEFINANCE(""Currency:USDEUR""),
IF($D54=""Franco Suíço"",'Original Data'!E54*GOOGLEFINANCE(""Currency:CHFEUR""),
IF($D54=""Libra Esterlina"", 'Original Data'!E54*GOOGLEFINANCE"&amp;"(""Currency:GBPEUR""),
IF($D54=""Iene"",'Original Data'!E54*GOOGLEFINANCE(""Currency:JPYEUR""),
IF($D54=""HKD"",'Original Data'!E54*GOOGLEFINANCE(""Currency:HKDEUR""),
IF($D54=""KRW"",'Original Data'!E54*GOOGLEFINANCE(""Currency:KRWEUR""),"""")))))))"),30.244289999999996)</f>
        <v>30.24429</v>
      </c>
      <c r="F54" s="8">
        <f>IFERROR(__xludf.DUMMYFUNCTION("IF($D54=""Euro"",'Original Data'!F54,
IF($D54=""Dolar"",'Original Data'!F54*GOOGLEFINANCE(""Currency:USDEUR""),
IF($D54=""Franco Suíço"",'Original Data'!F54*GOOGLEFINANCE(""Currency:CHFEUR""),
IF($D54=""Libra Esterlina"", 'Original Data'!F54*GOOGLEFINANCE"&amp;"(""Currency:GBPEUR""),
IF($D54=""Iene"",'Original Data'!F54*GOOGLEFINANCE(""Currency:JPYEUR""),
IF($D54=""HKD"",'Original Data'!F54*GOOGLEFINANCE(""Currency:HKDEUR""),
IF($D54=""KRW"",'Original Data'!F54*GOOGLEFINANCE(""Currency:KRWEUR""),"""")))))))"),23.81129)</f>
        <v>23.81129</v>
      </c>
      <c r="G54" s="8">
        <f>IFERROR(__xludf.DUMMYFUNCTION("IF($D54=""Euro"",'Original Data'!G54,
IF($D54=""Dolar"",'Original Data'!G54*GOOGLEFINANCE(""Currency:USDEUR""),
IF($D54=""Franco Suíço"",'Original Data'!G54*GOOGLEFINANCE(""Currency:CHFEUR""),
IF($D54=""Libra Esterlina"", 'Original Data'!G54*GOOGLEFINANCE"&amp;"(""Currency:GBPEUR""),
IF($D54=""Iene"",'Original Data'!G54*GOOGLEFINANCE(""Currency:JPYEUR""),
IF($D54=""HKD"",'Original Data'!G54*GOOGLEFINANCE(""Currency:HKDEUR""),
IF($D54=""KRW"",'Original Data'!G54*GOOGLEFINANCE(""Currency:KRWEUR""),"""")))))))"),3.4177609999999996)</f>
        <v>3.417761</v>
      </c>
      <c r="H54" s="17">
        <v>2.622</v>
      </c>
      <c r="I54" s="7" t="s">
        <v>41</v>
      </c>
      <c r="J54" s="7" t="s">
        <v>51</v>
      </c>
      <c r="K54" s="9">
        <v>-0.0137</v>
      </c>
      <c r="L54" s="9">
        <v>-0.0114</v>
      </c>
      <c r="M54" s="9">
        <v>-0.0201</v>
      </c>
      <c r="N54" s="8">
        <f>IFERROR(__xludf.DUMMYFUNCTION("IF('Original Data'!N54=""-"",""-"",
IF($D54=""Euro"",'Original Data'!N54,
IF($D54=""Dolar"",'Original Data'!N54*GOOGLEFINANCE(""Currency:USDEUR""),
IF($D54=""Franco Suíço"",'Original Data'!N54*GOOGLEFINANCE(""Currency:CHFEUR""),
IF($D54=""Libra Esterlina"&amp;""", 'Original Data'!N54*GOOGLEFINANCE(""Currency:GBPEUR""),
IF($D54=""Iene"",'Original Data'!N54*GOOGLEFINANCE(""Currency:JPYEUR""),
IF($D54=""HKD"",'Original Data'!N54*GOOGLEFINANCE(""Currency:HKDEUR""),
IF($D54=""KRW"",'Original Data'!N54*GOOGLEFINANCE("&amp;"""Currency:KRWEUR""),""""))))))))"),-0.99252)</f>
        <v>-0.99252</v>
      </c>
      <c r="O54" s="8">
        <f>IFERROR(__xludf.DUMMYFUNCTION("IF('Original Data'!O54=""-"",""-"",
IF($D54=""Euro"",'Original Data'!O54,
IF($D54=""Dolar"",'Original Data'!O54*GOOGLEFINANCE(""Currency:USDEUR""),
IF($D54=""Franco Suíço"",'Original Data'!O54*GOOGLEFINANCE(""Currency:CHFEUR""),
IF($D54=""Libra Esterlina"&amp;""", 'Original Data'!O54*GOOGLEFINANCE(""Currency:GBPEUR""),
IF($D54=""Iene"",'Original Data'!O54*GOOGLEFINANCE(""Currency:JPYEUR""),
IF($D54=""HKD"",'Original Data'!O54*GOOGLEFINANCE(""Currency:HKDEUR""),
IF($D54=""KRW"",'Original Data'!O54*GOOGLEFINANCE("&amp;"""Currency:KRWEUR""),""""))))))))"),1.48878)</f>
        <v>1.48878</v>
      </c>
      <c r="P54" s="8">
        <f>IFERROR(__xludf.DUMMYFUNCTION("IF('Original Data'!P54=""-"",""-"",
IF($D54=""Euro"",'Original Data'!P54,
IF($D54=""Dolar"",'Original Data'!P54*GOOGLEFINANCE(""Currency:USDEUR""),
IF($D54=""Franco Suíço"",'Original Data'!P54*GOOGLEFINANCE(""Currency:CHFEUR""),
IF($D54=""Libra Esterlina"&amp;""", 'Original Data'!P54*GOOGLEFINANCE(""Currency:GBPEUR""),
IF($D54=""Iene"",'Original Data'!P54*GOOGLEFINANCE(""Currency:JPYEUR""),
IF($D54=""HKD"",'Original Data'!P54*GOOGLEFINANCE(""Currency:HKDEUR""),
IF($D54=""KRW"",'Original Data'!P54*GOOGLEFINANCE("&amp;"""Currency:KRWEUR""),""""))))))))"),1.43364)</f>
        <v>1.43364</v>
      </c>
      <c r="Q54" s="8">
        <f>IFERROR(__xludf.DUMMYFUNCTION("IF('Original Data'!Q54=""-"",""-"",
IF($D54=""Euro"",'Original Data'!Q54,
IF($D54=""Dolar"",'Original Data'!Q54*GOOGLEFINANCE(""Currency:USDEUR""),
IF($D54=""Franco Suíço"",'Original Data'!Q54*GOOGLEFINANCE(""Currency:CHFEUR""),
IF($D54=""Libra Esterlina"&amp;""", 'Original Data'!Q54*GOOGLEFINANCE(""Currency:GBPEUR""),
IF($D54=""Iene"",'Original Data'!Q54*GOOGLEFINANCE(""Currency:JPYEUR""),
IF($D54=""HKD"",'Original Data'!Q54*GOOGLEFINANCE(""Currency:HKDEUR""),
IF($D54=""KRW"",'Original Data'!Q54*GOOGLEFINANCE("&amp;"""Currency:KRWEUR""),""""))))))))"),0.5550759999999999)</f>
        <v>0.555076</v>
      </c>
      <c r="R54" s="8">
        <f>IFERROR(__xludf.DUMMYFUNCTION("IF('Original Data'!R54=""-"",""-"",
IF($D54=""Euro"",'Original Data'!R54,
IF($D54=""Dolar"",'Original Data'!R54*GOOGLEFINANCE(""Currency:USDEUR""),
IF($D54=""Franco Suíço"",'Original Data'!R54*GOOGLEFINANCE(""Currency:CHFEUR""),
IF($D54=""Libra Esterlina"&amp;""", 'Original Data'!R54*GOOGLEFINANCE(""Currency:GBPEUR""),
IF($D54=""Iene"",'Original Data'!R54*GOOGLEFINANCE(""Currency:JPYEUR""),
IF($D54=""HKD"",'Original Data'!R54*GOOGLEFINANCE(""Currency:HKDEUR""),
IF($D54=""KRW"",'Original Data'!R54*GOOGLEFINANCE("&amp;"""Currency:KRWEUR""),""""))))))))"),0.828938)</f>
        <v>0.828938</v>
      </c>
      <c r="S54" s="8">
        <f>IFERROR(__xludf.DUMMYFUNCTION("IF('Original Data'!S54=""-"",""-"",
IF($D54=""Euro"",'Original Data'!S54,
IF($D54=""Dolar"",'Original Data'!S54*GOOGLEFINANCE(""Currency:USDEUR""),
IF($D54=""Franco Suíço"",'Original Data'!S54*GOOGLEFINANCE(""Currency:CHFEUR""),
IF($D54=""Libra Esterlina"&amp;""", 'Original Data'!S54*GOOGLEFINANCE(""Currency:GBPEUR""),
IF($D54=""Iene"",'Original Data'!S54*GOOGLEFINANCE(""Currency:JPYEUR""),
IF($D54=""HKD"",'Original Data'!S54*GOOGLEFINANCE(""Currency:HKDEUR""),
IF($D54=""KRW"",'Original Data'!S54*GOOGLEFINANCE("&amp;"""Currency:KRWEUR""),""""))))))))"),0.27478099999999994)</f>
        <v>0.274781</v>
      </c>
      <c r="T54" s="8">
        <f>IFERROR(__xludf.DUMMYFUNCTION("IF('Original Data'!T54=""-"",""-"",
IF($D54=""Euro"",'Original Data'!T54,
IF($D54=""Dolar"",'Original Data'!T54*GOOGLEFINANCE(""Currency:USDEUR""),
IF($D54=""Franco Suíço"",'Original Data'!T54*GOOGLEFINANCE(""Currency:CHFEUR""),
IF($D54=""Libra Esterlina"&amp;""", 'Original Data'!T54*GOOGLEFINANCE(""Currency:GBPEUR""),
IF($D54=""Iene"",'Original Data'!T54*GOOGLEFINANCE(""Currency:JPYEUR""),
IF($D54=""HKD"",'Original Data'!T54*GOOGLEFINANCE(""Currency:HKDEUR""),
IF($D54=""KRW"",'Original Data'!T54*GOOGLEFINANCE("&amp;"""Currency:KRWEUR""),""""))))))))"),0.287647)</f>
        <v>0.287647</v>
      </c>
      <c r="U54" s="8">
        <f>IFERROR(__xludf.DUMMYFUNCTION("IF('Original Data'!U54=""-"",""-"",
IF($D54=""Euro"",'Original Data'!U54,
IF($D54=""Dolar"",'Original Data'!U54*GOOGLEFINANCE(""Currency:USDEUR""),
IF($D54=""Franco Suíço"",'Original Data'!U54*GOOGLEFINANCE(""Currency:CHFEUR""),
IF($D54=""Libra Esterlina"&amp;""", 'Original Data'!U54*GOOGLEFINANCE(""Currency:GBPEUR""),
IF($D54=""Iene"",'Original Data'!U54*GOOGLEFINANCE(""Currency:JPYEUR""),
IF($D54=""HKD"",'Original Data'!U54*GOOGLEFINANCE(""Currency:HKDEUR""),
IF($D54=""KRW"",'Original Data'!U54*GOOGLEFINANCE("&amp;"""Currency:KRWEUR""),""""))))))))"),-0.158068)</f>
        <v>-0.158068</v>
      </c>
      <c r="V54" s="8">
        <f>IFERROR(__xludf.DUMMYFUNCTION("IF('Original Data'!V54=""-"",""-"",
IF($D54=""Euro"",'Original Data'!V54,
IF($D54=""Dolar"",'Original Data'!V54*GOOGLEFINANCE(""Currency:USDEUR""),
IF($D54=""Franco Suíço"",'Original Data'!V54*GOOGLEFINANCE(""Currency:CHFEUR""),
IF($D54=""Libra Esterlina"&amp;""", 'Original Data'!V54*GOOGLEFINANCE(""Currency:GBPEUR""),
IF($D54=""Iene"",'Original Data'!V54*GOOGLEFINANCE(""Currency:JPYEUR""),
IF($D54=""HKD"",'Original Data'!V54*GOOGLEFINANCE(""Currency:HKDEUR""),
IF($D54=""KRW"",'Original Data'!V54*GOOGLEFINANCE("&amp;"""Currency:KRWEUR""),""""))))))))"),-0.026650999999999998)</f>
        <v>-0.026651</v>
      </c>
      <c r="W54" s="7" t="s">
        <v>59</v>
      </c>
      <c r="X54" s="7" t="s">
        <v>59</v>
      </c>
      <c r="Y54" s="7" t="s">
        <v>41</v>
      </c>
      <c r="Z54" s="7" t="s">
        <v>41</v>
      </c>
      <c r="AA54" s="7" t="s">
        <v>41</v>
      </c>
      <c r="AB54" s="7" t="s">
        <v>41</v>
      </c>
      <c r="AC54" s="7">
        <v>26.0</v>
      </c>
      <c r="AD54" s="7">
        <v>2.8</v>
      </c>
      <c r="AE54" s="7">
        <v>14.7</v>
      </c>
      <c r="AF54" s="7">
        <v>8.3</v>
      </c>
      <c r="AG54" s="7">
        <v>2.0</v>
      </c>
    </row>
    <row r="55">
      <c r="A55" s="16" t="s">
        <v>204</v>
      </c>
      <c r="B55" s="16" t="s">
        <v>205</v>
      </c>
      <c r="C55" s="16" t="s">
        <v>206</v>
      </c>
      <c r="D55" s="7" t="s">
        <v>33</v>
      </c>
      <c r="E55" s="8">
        <f>IFERROR(__xludf.DUMMYFUNCTION("IF($D55=""Euro"",'Original Data'!E55,
IF($D55=""Dolar"",'Original Data'!E55*GOOGLEFINANCE(""Currency:USDEUR""),
IF($D55=""Franco Suíço"",'Original Data'!E55*GOOGLEFINANCE(""Currency:CHFEUR""),
IF($D55=""Libra Esterlina"", 'Original Data'!E55*GOOGLEFINANCE"&amp;"(""Currency:GBPEUR""),
IF($D55=""Iene"",'Original Data'!E55*GOOGLEFINANCE(""Currency:JPYEUR""),
IF($D55=""HKD"",'Original Data'!E55*GOOGLEFINANCE(""Currency:HKDEUR""),
IF($D55=""KRW"",'Original Data'!E55*GOOGLEFINANCE(""Currency:KRWEUR""),"""")))))))"),96.49)</f>
        <v>96.49</v>
      </c>
      <c r="F55" s="8">
        <f>IFERROR(__xludf.DUMMYFUNCTION("IF($D55=""Euro"",'Original Data'!F55,
IF($D55=""Dolar"",'Original Data'!F55*GOOGLEFINANCE(""Currency:USDEUR""),
IF($D55=""Franco Suíço"",'Original Data'!F55*GOOGLEFINANCE(""Currency:CHFEUR""),
IF($D55=""Libra Esterlina"", 'Original Data'!F55*GOOGLEFINANCE"&amp;"(""Currency:GBPEUR""),
IF($D55=""Iene"",'Original Data'!F55*GOOGLEFINANCE(""Currency:JPYEUR""),
IF($D55=""HKD"",'Original Data'!F55*GOOGLEFINANCE(""Currency:HKDEUR""),
IF($D55=""KRW"",'Original Data'!F55*GOOGLEFINANCE(""Currency:KRWEUR""),"""")))))))"),19.9)</f>
        <v>19.9</v>
      </c>
      <c r="G55" s="8">
        <f>IFERROR(__xludf.DUMMYFUNCTION("IF($D55=""Euro"",'Original Data'!G55,
IF($D55=""Dolar"",'Original Data'!G55*GOOGLEFINANCE(""Currency:USDEUR""),
IF($D55=""Franco Suíço"",'Original Data'!G55*GOOGLEFINANCE(""Currency:CHFEUR""),
IF($D55=""Libra Esterlina"", 'Original Data'!G55*GOOGLEFINANCE"&amp;"(""Currency:GBPEUR""),
IF($D55=""Iene"",'Original Data'!G55*GOOGLEFINANCE(""Currency:JPYEUR""),
IF($D55=""HKD"",'Original Data'!G55*GOOGLEFINANCE(""Currency:HKDEUR""),
IF($D55=""KRW"",'Original Data'!G55*GOOGLEFINANCE(""Currency:KRWEUR""),"""")))))))"),0.296)</f>
        <v>0.296</v>
      </c>
      <c r="H55" s="17">
        <v>0.007937</v>
      </c>
      <c r="I55" s="7">
        <v>20.56</v>
      </c>
      <c r="J55" s="9">
        <v>0.0202</v>
      </c>
      <c r="K55" s="9">
        <v>0.0395</v>
      </c>
      <c r="L55" s="9">
        <v>0.0309</v>
      </c>
      <c r="M55" s="9">
        <v>0.0618</v>
      </c>
      <c r="N55" s="8">
        <f>IFERROR(__xludf.DUMMYFUNCTION("IF('Original Data'!N55=""-"",""-"",
IF($D55=""Euro"",'Original Data'!N55,
IF($D55=""Dolar"",'Original Data'!N55*GOOGLEFINANCE(""Currency:USDEUR""),
IF($D55=""Franco Suíço"",'Original Data'!N55*GOOGLEFINANCE(""Currency:CHFEUR""),
IF($D55=""Libra Esterlina"&amp;""", 'Original Data'!N55*GOOGLEFINANCE(""Currency:GBPEUR""),
IF($D55=""Iene"",'Original Data'!N55*GOOGLEFINANCE(""Currency:JPYEUR""),
IF($D55=""HKD"",'Original Data'!N55*GOOGLEFINANCE(""Currency:HKDEUR""),
IF($D55=""KRW"",'Original Data'!N55*GOOGLEFINANCE("&amp;"""Currency:KRWEUR""),""""))))))))"),0.97)</f>
        <v>0.97</v>
      </c>
      <c r="O55" s="8">
        <f>IFERROR(__xludf.DUMMYFUNCTION("IF('Original Data'!O55=""-"",""-"",
IF($D55=""Euro"",'Original Data'!O55,
IF($D55=""Dolar"",'Original Data'!O55*GOOGLEFINANCE(""Currency:USDEUR""),
IF($D55=""Franco Suíço"",'Original Data'!O55*GOOGLEFINANCE(""Currency:CHFEUR""),
IF($D55=""Libra Esterlina"&amp;""", 'Original Data'!O55*GOOGLEFINANCE(""Currency:GBPEUR""),
IF($D55=""Iene"",'Original Data'!O55*GOOGLEFINANCE(""Currency:JPYEUR""),
IF($D55=""HKD"",'Original Data'!O55*GOOGLEFINANCE(""Currency:HKDEUR""),
IF($D55=""KRW"",'Original Data'!O55*GOOGLEFINANCE("&amp;"""Currency:KRWEUR""),""""))))))))"),0.4486)</f>
        <v>0.4486</v>
      </c>
      <c r="P55" s="8">
        <f>IFERROR(__xludf.DUMMYFUNCTION("IF('Original Data'!P55=""-"",""-"",
IF($D55=""Euro"",'Original Data'!P55,
IF($D55=""Dolar"",'Original Data'!P55*GOOGLEFINANCE(""Currency:USDEUR""),
IF($D55=""Franco Suíço"",'Original Data'!P55*GOOGLEFINANCE(""Currency:CHFEUR""),
IF($D55=""Libra Esterlina"&amp;""", 'Original Data'!P55*GOOGLEFINANCE(""Currency:GBPEUR""),
IF($D55=""Iene"",'Original Data'!P55*GOOGLEFINANCE(""Currency:JPYEUR""),
IF($D55=""HKD"",'Original Data'!P55*GOOGLEFINANCE(""Currency:HKDEUR""),
IF($D55=""KRW"",'Original Data'!P55*GOOGLEFINANCE("&amp;"""Currency:KRWEUR""),""""))))))))"),0.4124)</f>
        <v>0.4124</v>
      </c>
      <c r="Q55" s="8">
        <f>IFERROR(__xludf.DUMMYFUNCTION("IF('Original Data'!Q55=""-"",""-"",
IF($D55=""Euro"",'Original Data'!Q55,
IF($D55=""Dolar"",'Original Data'!Q55*GOOGLEFINANCE(""Currency:USDEUR""),
IF($D55=""Franco Suíço"",'Original Data'!Q55*GOOGLEFINANCE(""Currency:CHFEUR""),
IF($D55=""Libra Esterlina"&amp;""", 'Original Data'!Q55*GOOGLEFINANCE(""Currency:GBPEUR""),
IF($D55=""Iene"",'Original Data'!Q55*GOOGLEFINANCE(""Currency:JPYEUR""),
IF($D55=""HKD"",'Original Data'!Q55*GOOGLEFINANCE(""Currency:HKDEUR""),
IF($D55=""KRW"",'Original Data'!Q55*GOOGLEFINANCE("&amp;"""Currency:KRWEUR""),""""))))))))"),0.3964)</f>
        <v>0.3964</v>
      </c>
      <c r="R55" s="8">
        <f>IFERROR(__xludf.DUMMYFUNCTION("IF('Original Data'!R55=""-"",""-"",
IF($D55=""Euro"",'Original Data'!R55,
IF($D55=""Dolar"",'Original Data'!R55*GOOGLEFINANCE(""Currency:USDEUR""),
IF($D55=""Franco Suíço"",'Original Data'!R55*GOOGLEFINANCE(""Currency:CHFEUR""),
IF($D55=""Libra Esterlina"&amp;""", 'Original Data'!R55*GOOGLEFINANCE(""Currency:GBPEUR""),
IF($D55=""Iene"",'Original Data'!R55*GOOGLEFINANCE(""Currency:JPYEUR""),
IF($D55=""HKD"",'Original Data'!R55*GOOGLEFINANCE(""Currency:HKDEUR""),
IF($D55=""KRW"",'Original Data'!R55*GOOGLEFINANCE("&amp;"""Currency:KRWEUR""),""""))))))))"),0.464)</f>
        <v>0.464</v>
      </c>
      <c r="S55" s="8">
        <f>IFERROR(__xludf.DUMMYFUNCTION("IF('Original Data'!S55=""-"",""-"",
IF($D55=""Euro"",'Original Data'!S55,
IF($D55=""Dolar"",'Original Data'!S55*GOOGLEFINANCE(""Currency:USDEUR""),
IF($D55=""Franco Suíço"",'Original Data'!S55*GOOGLEFINANCE(""Currency:CHFEUR""),
IF($D55=""Libra Esterlina"&amp;""", 'Original Data'!S55*GOOGLEFINANCE(""Currency:GBPEUR""),
IF($D55=""Iene"",'Original Data'!S55*GOOGLEFINANCE(""Currency:JPYEUR""),
IF($D55=""HKD"",'Original Data'!S55*GOOGLEFINANCE(""Currency:HKDEUR""),
IF($D55=""KRW"",'Original Data'!S55*GOOGLEFINANCE("&amp;"""Currency:KRWEUR""),""""))))))))"),0.0545)</f>
        <v>0.0545</v>
      </c>
      <c r="T55" s="8">
        <f>IFERROR(__xludf.DUMMYFUNCTION("IF('Original Data'!T55=""-"",""-"",
IF($D55=""Euro"",'Original Data'!T55,
IF($D55=""Dolar"",'Original Data'!T55*GOOGLEFINANCE(""Currency:USDEUR""),
IF($D55=""Franco Suíço"",'Original Data'!T55*GOOGLEFINANCE(""Currency:CHFEUR""),
IF($D55=""Libra Esterlina"&amp;""", 'Original Data'!T55*GOOGLEFINANCE(""Currency:GBPEUR""),
IF($D55=""Iene"",'Original Data'!T55*GOOGLEFINANCE(""Currency:JPYEUR""),
IF($D55=""HKD"",'Original Data'!T55*GOOGLEFINANCE(""Currency:HKDEUR""),
IF($D55=""KRW"",'Original Data'!T55*GOOGLEFINANCE("&amp;"""Currency:KRWEUR""),""""))))))))"),0.0452)</f>
        <v>0.0452</v>
      </c>
      <c r="U55" s="8">
        <f>IFERROR(__xludf.DUMMYFUNCTION("IF('Original Data'!U55=""-"",""-"",
IF($D55=""Euro"",'Original Data'!U55,
IF($D55=""Dolar"",'Original Data'!U55*GOOGLEFINANCE(""Currency:USDEUR""),
IF($D55=""Franco Suíço"",'Original Data'!U55*GOOGLEFINANCE(""Currency:CHFEUR""),
IF($D55=""Libra Esterlina"&amp;""", 'Original Data'!U55*GOOGLEFINANCE(""Currency:GBPEUR""),
IF($D55=""Iene"",'Original Data'!U55*GOOGLEFINANCE(""Currency:JPYEUR""),
IF($D55=""HKD"",'Original Data'!U55*GOOGLEFINANCE(""Currency:HKDEUR""),
IF($D55=""KRW"",'Original Data'!U55*GOOGLEFINANCE("&amp;"""Currency:KRWEUR""),""""))))))))"),0.0478)</f>
        <v>0.0478</v>
      </c>
      <c r="V55" s="8">
        <f>IFERROR(__xludf.DUMMYFUNCTION("IF('Original Data'!V55=""-"",""-"",
IF($D55=""Euro"",'Original Data'!V55,
IF($D55=""Dolar"",'Original Data'!V55*GOOGLEFINANCE(""Currency:USDEUR""),
IF($D55=""Franco Suíço"",'Original Data'!V55*GOOGLEFINANCE(""Currency:CHFEUR""),
IF($D55=""Libra Esterlina"&amp;""", 'Original Data'!V55*GOOGLEFINANCE(""Currency:GBPEUR""),
IF($D55=""Iene"",'Original Data'!V55*GOOGLEFINANCE(""Currency:JPYEUR""),
IF($D55=""HKD"",'Original Data'!V55*GOOGLEFINANCE(""Currency:HKDEUR""),
IF($D55=""KRW"",'Original Data'!V55*GOOGLEFINANCE("&amp;"""Currency:KRWEUR""),""""))))))))"),0.0591)</f>
        <v>0.0591</v>
      </c>
      <c r="W55" s="7" t="s">
        <v>36</v>
      </c>
      <c r="X55" s="7" t="s">
        <v>59</v>
      </c>
      <c r="Y55" s="7" t="s">
        <v>41</v>
      </c>
      <c r="Z55" s="7" t="s">
        <v>41</v>
      </c>
      <c r="AA55" s="7" t="s">
        <v>41</v>
      </c>
      <c r="AB55" s="7" t="s">
        <v>41</v>
      </c>
      <c r="AC55" s="7" t="s">
        <v>41</v>
      </c>
      <c r="AD55" s="7" t="s">
        <v>41</v>
      </c>
      <c r="AE55" s="7" t="s">
        <v>41</v>
      </c>
      <c r="AF55" s="7" t="s">
        <v>41</v>
      </c>
      <c r="AG55" s="7" t="s">
        <v>41</v>
      </c>
    </row>
    <row r="56">
      <c r="A56" s="16" t="s">
        <v>207</v>
      </c>
      <c r="B56" s="16" t="s">
        <v>208</v>
      </c>
      <c r="C56" s="16" t="s">
        <v>209</v>
      </c>
      <c r="D56" s="7" t="s">
        <v>33</v>
      </c>
      <c r="E56" s="8">
        <f>IFERROR(__xludf.DUMMYFUNCTION("IF($D56=""Euro"",'Original Data'!E56,
IF($D56=""Dolar"",'Original Data'!E56*GOOGLEFINANCE(""Currency:USDEUR""),
IF($D56=""Franco Suíço"",'Original Data'!E56*GOOGLEFINANCE(""Currency:CHFEUR""),
IF($D56=""Libra Esterlina"", 'Original Data'!E56*GOOGLEFINANCE"&amp;"(""Currency:GBPEUR""),
IF($D56=""Iene"",'Original Data'!E56*GOOGLEFINANCE(""Currency:JPYEUR""),
IF($D56=""HKD"",'Original Data'!E56*GOOGLEFINANCE(""Currency:HKDEUR""),
IF($D56=""KRW"",'Original Data'!E56*GOOGLEFINANCE(""Currency:KRWEUR""),"""")))))))"),20.98)</f>
        <v>20.98</v>
      </c>
      <c r="F56" s="8">
        <f>IFERROR(__xludf.DUMMYFUNCTION("IF($D56=""Euro"",'Original Data'!F56,
IF($D56=""Dolar"",'Original Data'!F56*GOOGLEFINANCE(""Currency:USDEUR""),
IF($D56=""Franco Suíço"",'Original Data'!F56*GOOGLEFINANCE(""Currency:CHFEUR""),
IF($D56=""Libra Esterlina"", 'Original Data'!F56*GOOGLEFINANCE"&amp;"(""Currency:GBPEUR""),
IF($D56=""Iene"",'Original Data'!F56*GOOGLEFINANCE(""Currency:JPYEUR""),
IF($D56=""HKD"",'Original Data'!F56*GOOGLEFINANCE(""Currency:HKDEUR""),
IF($D56=""KRW"",'Original Data'!F56*GOOGLEFINANCE(""Currency:KRWEUR""),"""")))))))"),53.6)</f>
        <v>53.6</v>
      </c>
      <c r="G56" s="8">
        <f>IFERROR(__xludf.DUMMYFUNCTION("IF($D56=""Euro"",'Original Data'!G56,
IF($D56=""Dolar"",'Original Data'!G56*GOOGLEFINANCE(""Currency:USDEUR""),
IF($D56=""Franco Suíço"",'Original Data'!G56*GOOGLEFINANCE(""Currency:CHFEUR""),
IF($D56=""Libra Esterlina"", 'Original Data'!G56*GOOGLEFINANCE"&amp;"(""Currency:GBPEUR""),
IF($D56=""Iene"",'Original Data'!G56*GOOGLEFINANCE(""Currency:JPYEUR""),
IF($D56=""HKD"",'Original Data'!G56*GOOGLEFINANCE(""Currency:HKDEUR""),
IF($D56=""KRW"",'Original Data'!G56*GOOGLEFINANCE(""Currency:KRWEUR""),"""")))))))"),64.417)</f>
        <v>64.417</v>
      </c>
      <c r="H56" s="17">
        <v>4.711</v>
      </c>
      <c r="I56" s="7">
        <v>7.2</v>
      </c>
      <c r="J56" s="9">
        <v>0.0696</v>
      </c>
      <c r="K56" s="7" t="s">
        <v>51</v>
      </c>
      <c r="L56" s="9">
        <v>0.0037</v>
      </c>
      <c r="M56" s="9">
        <v>0.0698</v>
      </c>
      <c r="N56" s="8">
        <f>IFERROR(__xludf.DUMMYFUNCTION("IF('Original Data'!N56=""-"",""-"",
IF($D56=""Euro"",'Original Data'!N56,
IF($D56=""Dolar"",'Original Data'!N56*GOOGLEFINANCE(""Currency:USDEUR""),
IF($D56=""Franco Suíço"",'Original Data'!N56*GOOGLEFINANCE(""Currency:CHFEUR""),
IF($D56=""Libra Esterlina"&amp;""", 'Original Data'!N56*GOOGLEFINANCE(""Currency:GBPEUR""),
IF($D56=""Iene"",'Original Data'!N56*GOOGLEFINANCE(""Currency:JPYEUR""),
IF($D56=""HKD"",'Original Data'!N56*GOOGLEFINANCE(""Currency:HKDEUR""),
IF($D56=""KRW"",'Original Data'!N56*GOOGLEFINANCE("&amp;"""Currency:KRWEUR""),""""))))))))"),6.98)</f>
        <v>6.98</v>
      </c>
      <c r="O56" s="8">
        <f>IFERROR(__xludf.DUMMYFUNCTION("IF('Original Data'!O56=""-"",""-"",
IF($D56=""Euro"",'Original Data'!O56,
IF($D56=""Dolar"",'Original Data'!O56*GOOGLEFINANCE(""Currency:USDEUR""),
IF($D56=""Franco Suíço"",'Original Data'!O56*GOOGLEFINANCE(""Currency:CHFEUR""),
IF($D56=""Libra Esterlina"&amp;""", 'Original Data'!O56*GOOGLEFINANCE(""Currency:GBPEUR""),
IF($D56=""Iene"",'Original Data'!O56*GOOGLEFINANCE(""Currency:JPYEUR""),
IF($D56=""HKD"",'Original Data'!O56*GOOGLEFINANCE(""Currency:HKDEUR""),
IF($D56=""KRW"",'Original Data'!O56*GOOGLEFINANCE("&amp;"""Currency:KRWEUR""),""""))))))))"),56.355)</f>
        <v>56.355</v>
      </c>
      <c r="P56" s="8">
        <f>IFERROR(__xludf.DUMMYFUNCTION("IF('Original Data'!P56=""-"",""-"",
IF($D56=""Euro"",'Original Data'!P56,
IF($D56=""Dolar"",'Original Data'!P56*GOOGLEFINANCE(""Currency:USDEUR""),
IF($D56=""Franco Suíço"",'Original Data'!P56*GOOGLEFINANCE(""Currency:CHFEUR""),
IF($D56=""Libra Esterlina"&amp;""", 'Original Data'!P56*GOOGLEFINANCE(""Currency:GBPEUR""),
IF($D56=""Iene"",'Original Data'!P56*GOOGLEFINANCE(""Currency:JPYEUR""),
IF($D56=""HKD"",'Original Data'!P56*GOOGLEFINANCE(""Currency:HKDEUR""),
IF($D56=""KRW"",'Original Data'!P56*GOOGLEFINANCE("&amp;"""Currency:KRWEUR""),""""))))))))"),54.779)</f>
        <v>54.779</v>
      </c>
      <c r="Q56" s="8">
        <f>IFERROR(__xludf.DUMMYFUNCTION("IF('Original Data'!Q56=""-"",""-"",
IF($D56=""Euro"",'Original Data'!Q56,
IF($D56=""Dolar"",'Original Data'!Q56*GOOGLEFINANCE(""Currency:USDEUR""),
IF($D56=""Franco Suíço"",'Original Data'!Q56*GOOGLEFINANCE(""Currency:CHFEUR""),
IF($D56=""Libra Esterlina"&amp;""", 'Original Data'!Q56*GOOGLEFINANCE(""Currency:GBPEUR""),
IF($D56=""Iene"",'Original Data'!Q56*GOOGLEFINANCE(""Currency:JPYEUR""),
IF($D56=""HKD"",'Original Data'!Q56*GOOGLEFINANCE(""Currency:HKDEUR""),
IF($D56=""KRW"",'Original Data'!Q56*GOOGLEFINANCE("&amp;"""Currency:KRWEUR""),""""))))))))"),55.005)</f>
        <v>55.005</v>
      </c>
      <c r="R56" s="8">
        <f>IFERROR(__xludf.DUMMYFUNCTION("IF('Original Data'!R56=""-"",""-"",
IF($D56=""Euro"",'Original Data'!R56,
IF($D56=""Dolar"",'Original Data'!R56*GOOGLEFINANCE(""Currency:USDEUR""),
IF($D56=""Franco Suíço"",'Original Data'!R56*GOOGLEFINANCE(""Currency:CHFEUR""),
IF($D56=""Libra Esterlina"&amp;""", 'Original Data'!R56*GOOGLEFINANCE(""Currency:GBPEUR""),
IF($D56=""Iene"",'Original Data'!R56*GOOGLEFINANCE(""Currency:JPYEUR""),
IF($D56=""HKD"",'Original Data'!R56*GOOGLEFINANCE(""Currency:HKDEUR""),
IF($D56=""KRW"",'Original Data'!R56*GOOGLEFINANCE("&amp;"""Currency:KRWEUR""),""""))))))))"),51.994)</f>
        <v>51.994</v>
      </c>
      <c r="S56" s="8" t="str">
        <f>IFERROR(__xludf.DUMMYFUNCTION("IF('Original Data'!S56=""-"",""-"",
IF($D56=""Euro"",'Original Data'!S56,
IF($D56=""Dolar"",'Original Data'!S56*GOOGLEFINANCE(""Currency:USDEUR""),
IF($D56=""Franco Suíço"",'Original Data'!S56*GOOGLEFINANCE(""Currency:CHFEUR""),
IF($D56=""Libra Esterlina"&amp;""", 'Original Data'!S56*GOOGLEFINANCE(""Currency:GBPEUR""),
IF($D56=""Iene"",'Original Data'!S56*GOOGLEFINANCE(""Currency:JPYEUR""),
IF($D56=""HKD"",'Original Data'!S56*GOOGLEFINANCE(""Currency:HKDEUR""),
IF($D56=""KRW"",'Original Data'!S56*GOOGLEFINANCE("&amp;"""Currency:KRWEUR""),""""))))))))"),"-")</f>
        <v>-</v>
      </c>
      <c r="T56" s="8" t="str">
        <f>IFERROR(__xludf.DUMMYFUNCTION("IF('Original Data'!T56=""-"",""-"",
IF($D56=""Euro"",'Original Data'!T56,
IF($D56=""Dolar"",'Original Data'!T56*GOOGLEFINANCE(""Currency:USDEUR""),
IF($D56=""Franco Suíço"",'Original Data'!T56*GOOGLEFINANCE(""Currency:CHFEUR""),
IF($D56=""Libra Esterlina"&amp;""", 'Original Data'!T56*GOOGLEFINANCE(""Currency:GBPEUR""),
IF($D56=""Iene"",'Original Data'!T56*GOOGLEFINANCE(""Currency:JPYEUR""),
IF($D56=""HKD"",'Original Data'!T56*GOOGLEFINANCE(""Currency:HKDEUR""),
IF($D56=""KRW"",'Original Data'!T56*GOOGLEFINANCE("&amp;"""Currency:KRWEUR""),""""))))))))"),"-")</f>
        <v>-</v>
      </c>
      <c r="U56" s="8" t="str">
        <f>IFERROR(__xludf.DUMMYFUNCTION("IF('Original Data'!U56=""-"",""-"",
IF($D56=""Euro"",'Original Data'!U56,
IF($D56=""Dolar"",'Original Data'!U56*GOOGLEFINANCE(""Currency:USDEUR""),
IF($D56=""Franco Suíço"",'Original Data'!U56*GOOGLEFINANCE(""Currency:CHFEUR""),
IF($D56=""Libra Esterlina"&amp;""", 'Original Data'!U56*GOOGLEFINANCE(""Currency:GBPEUR""),
IF($D56=""Iene"",'Original Data'!U56*GOOGLEFINANCE(""Currency:JPYEUR""),
IF($D56=""HKD"",'Original Data'!U56*GOOGLEFINANCE(""Currency:HKDEUR""),
IF($D56=""KRW"",'Original Data'!U56*GOOGLEFINANCE("&amp;"""Currency:KRWEUR""),""""))))))))"),"-")</f>
        <v>-</v>
      </c>
      <c r="V56" s="8" t="str">
        <f>IFERROR(__xludf.DUMMYFUNCTION("IF('Original Data'!V56=""-"",""-"",
IF($D56=""Euro"",'Original Data'!V56,
IF($D56=""Dolar"",'Original Data'!V56*GOOGLEFINANCE(""Currency:USDEUR""),
IF($D56=""Franco Suíço"",'Original Data'!V56*GOOGLEFINANCE(""Currency:CHFEUR""),
IF($D56=""Libra Esterlina"&amp;""", 'Original Data'!V56*GOOGLEFINANCE(""Currency:GBPEUR""),
IF($D56=""Iene"",'Original Data'!V56*GOOGLEFINANCE(""Currency:JPYEUR""),
IF($D56=""HKD"",'Original Data'!V56*GOOGLEFINANCE(""Currency:HKDEUR""),
IF($D56=""KRW"",'Original Data'!V56*GOOGLEFINANCE("&amp;"""Currency:KRWEUR""),""""))))))))"),"-")</f>
        <v>-</v>
      </c>
      <c r="W56" s="7" t="s">
        <v>35</v>
      </c>
      <c r="X56" s="7" t="s">
        <v>35</v>
      </c>
      <c r="Y56" s="7" t="s">
        <v>41</v>
      </c>
      <c r="Z56" s="7" t="s">
        <v>41</v>
      </c>
      <c r="AA56" s="7" t="s">
        <v>41</v>
      </c>
      <c r="AB56" s="7" t="s">
        <v>41</v>
      </c>
      <c r="AC56" s="7">
        <v>24.0</v>
      </c>
      <c r="AD56" s="7">
        <v>1.3</v>
      </c>
      <c r="AE56" s="7">
        <v>11.2</v>
      </c>
      <c r="AF56" s="7">
        <v>11.4</v>
      </c>
      <c r="AG56" s="7">
        <v>3.0</v>
      </c>
    </row>
    <row r="57">
      <c r="A57" s="16" t="s">
        <v>210</v>
      </c>
      <c r="B57" s="16" t="s">
        <v>211</v>
      </c>
      <c r="C57" s="16" t="s">
        <v>212</v>
      </c>
      <c r="D57" s="7" t="s">
        <v>33</v>
      </c>
      <c r="E57" s="8">
        <f>IFERROR(__xludf.DUMMYFUNCTION("IF($D57=""Euro"",'Original Data'!E57,
IF($D57=""Dolar"",'Original Data'!E57*GOOGLEFINANCE(""Currency:USDEUR""),
IF($D57=""Franco Suíço"",'Original Data'!E57*GOOGLEFINANCE(""Currency:CHFEUR""),
IF($D57=""Libra Esterlina"", 'Original Data'!E57*GOOGLEFINANCE"&amp;"(""Currency:GBPEUR""),
IF($D57=""Iene"",'Original Data'!E57*GOOGLEFINANCE(""Currency:JPYEUR""),
IF($D57=""HKD"",'Original Data'!E57*GOOGLEFINANCE(""Currency:HKDEUR""),
IF($D57=""KRW"",'Original Data'!E57*GOOGLEFINANCE(""Currency:KRWEUR""),"""")))))))"),24.54)</f>
        <v>24.54</v>
      </c>
      <c r="F57" s="8">
        <f>IFERROR(__xludf.DUMMYFUNCTION("IF($D57=""Euro"",'Original Data'!F57,
IF($D57=""Dolar"",'Original Data'!F57*GOOGLEFINANCE(""Currency:USDEUR""),
IF($D57=""Franco Suíço"",'Original Data'!F57*GOOGLEFINANCE(""Currency:CHFEUR""),
IF($D57=""Libra Esterlina"", 'Original Data'!F57*GOOGLEFINANCE"&amp;"(""Currency:GBPEUR""),
IF($D57=""Iene"",'Original Data'!F57*GOOGLEFINANCE(""Currency:JPYEUR""),
IF($D57=""HKD"",'Original Data'!F57*GOOGLEFINANCE(""Currency:HKDEUR""),
IF($D57=""KRW"",'Original Data'!F57*GOOGLEFINANCE(""Currency:KRWEUR""),"""")))))))"),75.0)</f>
        <v>75</v>
      </c>
      <c r="G57" s="8">
        <f>IFERROR(__xludf.DUMMYFUNCTION("IF($D57=""Euro"",'Original Data'!G57,
IF($D57=""Dolar"",'Original Data'!G57*GOOGLEFINANCE(""Currency:USDEUR""),
IF($D57=""Franco Suíço"",'Original Data'!G57*GOOGLEFINANCE(""Currency:CHFEUR""),
IF($D57=""Libra Esterlina"", 'Original Data'!G57*GOOGLEFINANCE"&amp;"(""Currency:GBPEUR""),
IF($D57=""Iene"",'Original Data'!G57*GOOGLEFINANCE(""Currency:JPYEUR""),
IF($D57=""HKD"",'Original Data'!G57*GOOGLEFINANCE(""Currency:HKDEUR""),
IF($D57=""KRW"",'Original Data'!G57*GOOGLEFINANCE(""Currency:KRWEUR""),"""")))))))"),5.313)</f>
        <v>5.313</v>
      </c>
      <c r="H57" s="17">
        <v>0.026347</v>
      </c>
      <c r="I57" s="7">
        <v>14.97</v>
      </c>
      <c r="J57" s="9">
        <v>0.0496</v>
      </c>
      <c r="K57" s="9">
        <v>0.0643</v>
      </c>
      <c r="L57" s="9">
        <v>0.044</v>
      </c>
      <c r="M57" s="9">
        <v>0.1534</v>
      </c>
      <c r="N57" s="8">
        <f>IFERROR(__xludf.DUMMYFUNCTION("IF('Original Data'!N57=""-"",""-"",
IF($D57=""Euro"",'Original Data'!N57,
IF($D57=""Dolar"",'Original Data'!N57*GOOGLEFINANCE(""Currency:USDEUR""),
IF($D57=""Franco Suíço"",'Original Data'!N57*GOOGLEFINANCE(""Currency:CHFEUR""),
IF($D57=""Libra Esterlina"&amp;""", 'Original Data'!N57*GOOGLEFINANCE(""Currency:GBPEUR""),
IF($D57=""Iene"",'Original Data'!N57*GOOGLEFINANCE(""Currency:JPYEUR""),
IF($D57=""HKD"",'Original Data'!N57*GOOGLEFINANCE(""Currency:HKDEUR""),
IF($D57=""KRW"",'Original Data'!N57*GOOGLEFINANCE("&amp;"""Currency:KRWEUR""),""""))))))))"),6.67)</f>
        <v>6.67</v>
      </c>
      <c r="O57" s="8">
        <f>IFERROR(__xludf.DUMMYFUNCTION("IF('Original Data'!O57=""-"",""-"",
IF($D57=""Euro"",'Original Data'!O57,
IF($D57=""Dolar"",'Original Data'!O57*GOOGLEFINANCE(""Currency:USDEUR""),
IF($D57=""Franco Suíço"",'Original Data'!O57*GOOGLEFINANCE(""Currency:CHFEUR""),
IF($D57=""Libra Esterlina"&amp;""", 'Original Data'!O57*GOOGLEFINANCE(""Currency:GBPEUR""),
IF($D57=""Iene"",'Original Data'!O57*GOOGLEFINANCE(""Currency:JPYEUR""),
IF($D57=""HKD"",'Original Data'!O57*GOOGLEFINANCE(""Currency:HKDEUR""),
IF($D57=""KRW"",'Original Data'!O57*GOOGLEFINANCE("&amp;"""Currency:KRWEUR""),""""))))))))"),2.93)</f>
        <v>2.93</v>
      </c>
      <c r="P57" s="8">
        <f>IFERROR(__xludf.DUMMYFUNCTION("IF('Original Data'!P57=""-"",""-"",
IF($D57=""Euro"",'Original Data'!P57,
IF($D57=""Dolar"",'Original Data'!P57*GOOGLEFINANCE(""Currency:USDEUR""),
IF($D57=""Franco Suíço"",'Original Data'!P57*GOOGLEFINANCE(""Currency:CHFEUR""),
IF($D57=""Libra Esterlina"&amp;""", 'Original Data'!P57*GOOGLEFINANCE(""Currency:GBPEUR""),
IF($D57=""Iene"",'Original Data'!P57*GOOGLEFINANCE(""Currency:JPYEUR""),
IF($D57=""HKD"",'Original Data'!P57*GOOGLEFINANCE(""Currency:HKDEUR""),
IF($D57=""KRW"",'Original Data'!P57*GOOGLEFINANCE("&amp;"""Currency:KRWEUR""),""""))))))))"),2.5)</f>
        <v>2.5</v>
      </c>
      <c r="Q57" s="8">
        <f>IFERROR(__xludf.DUMMYFUNCTION("IF('Original Data'!Q57=""-"",""-"",
IF($D57=""Euro"",'Original Data'!Q57,
IF($D57=""Dolar"",'Original Data'!Q57*GOOGLEFINANCE(""Currency:USDEUR""),
IF($D57=""Franco Suíço"",'Original Data'!Q57*GOOGLEFINANCE(""Currency:CHFEUR""),
IF($D57=""Libra Esterlina"&amp;""", 'Original Data'!Q57*GOOGLEFINANCE(""Currency:GBPEUR""),
IF($D57=""Iene"",'Original Data'!Q57*GOOGLEFINANCE(""Currency:JPYEUR""),
IF($D57=""HKD"",'Original Data'!Q57*GOOGLEFINANCE(""Currency:HKDEUR""),
IF($D57=""KRW"",'Original Data'!Q57*GOOGLEFINANCE("&amp;"""Currency:KRWEUR""),""""))))))))"),1.53)</f>
        <v>1.53</v>
      </c>
      <c r="R57" s="8">
        <f>IFERROR(__xludf.DUMMYFUNCTION("IF('Original Data'!R57=""-"",""-"",
IF($D57=""Euro"",'Original Data'!R57,
IF($D57=""Dolar"",'Original Data'!R57*GOOGLEFINANCE(""Currency:USDEUR""),
IF($D57=""Franco Suíço"",'Original Data'!R57*GOOGLEFINANCE(""Currency:CHFEUR""),
IF($D57=""Libra Esterlina"&amp;""", 'Original Data'!R57*GOOGLEFINANCE(""Currency:GBPEUR""),
IF($D57=""Iene"",'Original Data'!R57*GOOGLEFINANCE(""Currency:JPYEUR""),
IF($D57=""HKD"",'Original Data'!R57*GOOGLEFINANCE(""Currency:HKDEUR""),
IF($D57=""KRW"",'Original Data'!R57*GOOGLEFINANCE("&amp;"""Currency:KRWEUR""),""""))))))))"),2.28)</f>
        <v>2.28</v>
      </c>
      <c r="S57" s="8">
        <f>IFERROR(__xludf.DUMMYFUNCTION("IF('Original Data'!S57=""-"",""-"",
IF($D57=""Euro"",'Original Data'!S57,
IF($D57=""Dolar"",'Original Data'!S57*GOOGLEFINANCE(""Currency:USDEUR""),
IF($D57=""Franco Suíço"",'Original Data'!S57*GOOGLEFINANCE(""Currency:CHFEUR""),
IF($D57=""Libra Esterlina"&amp;""", 'Original Data'!S57*GOOGLEFINANCE(""Currency:GBPEUR""),
IF($D57=""Iene"",'Original Data'!S57*GOOGLEFINANCE(""Currency:JPYEUR""),
IF($D57=""HKD"",'Original Data'!S57*GOOGLEFINANCE(""Currency:HKDEUR""),
IF($D57=""KRW"",'Original Data'!S57*GOOGLEFINANCE("&amp;"""Currency:KRWEUR""),""""))))))))"),0.53656)</f>
        <v>0.53656</v>
      </c>
      <c r="T57" s="8">
        <f>IFERROR(__xludf.DUMMYFUNCTION("IF('Original Data'!T57=""-"",""-"",
IF($D57=""Euro"",'Original Data'!T57,
IF($D57=""Dolar"",'Original Data'!T57*GOOGLEFINANCE(""Currency:USDEUR""),
IF($D57=""Franco Suíço"",'Original Data'!T57*GOOGLEFINANCE(""Currency:CHFEUR""),
IF($D57=""Libra Esterlina"&amp;""", 'Original Data'!T57*GOOGLEFINANCE(""Currency:GBPEUR""),
IF($D57=""Iene"",'Original Data'!T57*GOOGLEFINANCE(""Currency:JPYEUR""),
IF($D57=""HKD"",'Original Data'!T57*GOOGLEFINANCE(""Currency:HKDEUR""),
IF($D57=""KRW"",'Original Data'!T57*GOOGLEFINANCE("&amp;"""Currency:KRWEUR""),""""))))))))"),0.37685)</f>
        <v>0.37685</v>
      </c>
      <c r="U57" s="8">
        <f>IFERROR(__xludf.DUMMYFUNCTION("IF('Original Data'!U57=""-"",""-"",
IF($D57=""Euro"",'Original Data'!U57,
IF($D57=""Dolar"",'Original Data'!U57*GOOGLEFINANCE(""Currency:USDEUR""),
IF($D57=""Franco Suíço"",'Original Data'!U57*GOOGLEFINANCE(""Currency:CHFEUR""),
IF($D57=""Libra Esterlina"&amp;""", 'Original Data'!U57*GOOGLEFINANCE(""Currency:GBPEUR""),
IF($D57=""Iene"",'Original Data'!U57*GOOGLEFINANCE(""Currency:JPYEUR""),
IF($D57=""HKD"",'Original Data'!U57*GOOGLEFINANCE(""Currency:HKDEUR""),
IF($D57=""KRW"",'Original Data'!U57*GOOGLEFINANCE("&amp;"""Currency:KRWEUR""),""""))))))))"),-0.00944)</f>
        <v>-0.00944</v>
      </c>
      <c r="V57" s="8">
        <f>IFERROR(__xludf.DUMMYFUNCTION("IF('Original Data'!V57=""-"",""-"",
IF($D57=""Euro"",'Original Data'!V57,
IF($D57=""Dolar"",'Original Data'!V57*GOOGLEFINANCE(""Currency:USDEUR""),
IF($D57=""Franco Suíço"",'Original Data'!V57*GOOGLEFINANCE(""Currency:CHFEUR""),
IF($D57=""Libra Esterlina"&amp;""", 'Original Data'!V57*GOOGLEFINANCE(""Currency:GBPEUR""),
IF($D57=""Iene"",'Original Data'!V57*GOOGLEFINANCE(""Currency:JPYEUR""),
IF($D57=""HKD"",'Original Data'!V57*GOOGLEFINANCE(""Currency:HKDEUR""),
IF($D57=""KRW"",'Original Data'!V57*GOOGLEFINANCE("&amp;"""Currency:KRWEUR""),""""))))))))"),0.84922)</f>
        <v>0.84922</v>
      </c>
      <c r="W57" s="7" t="s">
        <v>114</v>
      </c>
      <c r="X57" s="7" t="s">
        <v>59</v>
      </c>
      <c r="Y57" s="7" t="s">
        <v>41</v>
      </c>
      <c r="Z57" s="7" t="s">
        <v>41</v>
      </c>
      <c r="AA57" s="7" t="s">
        <v>41</v>
      </c>
      <c r="AB57" s="7" t="s">
        <v>41</v>
      </c>
      <c r="AC57" s="7" t="s">
        <v>41</v>
      </c>
      <c r="AD57" s="7" t="s">
        <v>41</v>
      </c>
      <c r="AE57" s="7" t="s">
        <v>41</v>
      </c>
      <c r="AF57" s="7" t="s">
        <v>41</v>
      </c>
      <c r="AG57" s="7" t="s">
        <v>41</v>
      </c>
    </row>
    <row r="58">
      <c r="A58" s="16" t="s">
        <v>213</v>
      </c>
      <c r="B58" s="16" t="s">
        <v>214</v>
      </c>
      <c r="C58" s="16" t="s">
        <v>215</v>
      </c>
      <c r="D58" s="7" t="s">
        <v>33</v>
      </c>
      <c r="E58" s="8">
        <f>IFERROR(__xludf.DUMMYFUNCTION("IF($D58=""Euro"",'Original Data'!E58,
IF($D58=""Dolar"",'Original Data'!E58*GOOGLEFINANCE(""Currency:USDEUR""),
IF($D58=""Franco Suíço"",'Original Data'!E58*GOOGLEFINANCE(""Currency:CHFEUR""),
IF($D58=""Libra Esterlina"", 'Original Data'!E58*GOOGLEFINANCE"&amp;"(""Currency:GBPEUR""),
IF($D58=""Iene"",'Original Data'!E58*GOOGLEFINANCE(""Currency:JPYEUR""),
IF($D58=""HKD"",'Original Data'!E58*GOOGLEFINANCE(""Currency:HKDEUR""),
IF($D58=""KRW"",'Original Data'!E58*GOOGLEFINANCE(""Currency:KRWEUR""),"""")))))))"),17.79)</f>
        <v>17.79</v>
      </c>
      <c r="F58" s="8">
        <f>IFERROR(__xludf.DUMMYFUNCTION("IF($D58=""Euro"",'Original Data'!F58,
IF($D58=""Dolar"",'Original Data'!F58*GOOGLEFINANCE(""Currency:USDEUR""),
IF($D58=""Franco Suíço"",'Original Data'!F58*GOOGLEFINANCE(""Currency:CHFEUR""),
IF($D58=""Libra Esterlina"", 'Original Data'!F58*GOOGLEFINANCE"&amp;"(""Currency:GBPEUR""),
IF($D58=""Iene"",'Original Data'!F58*GOOGLEFINANCE(""Currency:JPYEUR""),
IF($D58=""HKD"",'Original Data'!F58*GOOGLEFINANCE(""Currency:HKDEUR""),
IF($D58=""KRW"",'Original Data'!F58*GOOGLEFINANCE(""Currency:KRWEUR""),"""")))))))"),25.15)</f>
        <v>25.15</v>
      </c>
      <c r="G58" s="8">
        <f>IFERROR(__xludf.DUMMYFUNCTION("IF($D58=""Euro"",'Original Data'!G58,
IF($D58=""Dolar"",'Original Data'!G58*GOOGLEFINANCE(""Currency:USDEUR""),
IF($D58=""Franco Suíço"",'Original Data'!G58*GOOGLEFINANCE(""Currency:CHFEUR""),
IF($D58=""Libra Esterlina"", 'Original Data'!G58*GOOGLEFINANCE"&amp;"(""Currency:GBPEUR""),
IF($D58=""Iene"",'Original Data'!G58*GOOGLEFINANCE(""Currency:JPYEUR""),
IF($D58=""HKD"",'Original Data'!G58*GOOGLEFINANCE(""Currency:HKDEUR""),
IF($D58=""KRW"",'Original Data'!G58*GOOGLEFINANCE(""Currency:KRWEUR""),"""")))))))"),23.76)</f>
        <v>23.76</v>
      </c>
      <c r="H58" s="17">
        <v>0.842348</v>
      </c>
      <c r="I58" s="7">
        <v>19.6</v>
      </c>
      <c r="J58" s="9">
        <v>0.0795</v>
      </c>
      <c r="K58" s="9">
        <v>0.0112</v>
      </c>
      <c r="L58" s="9">
        <v>0.0083</v>
      </c>
      <c r="M58" s="9">
        <v>0.0016</v>
      </c>
      <c r="N58" s="8">
        <f>IFERROR(__xludf.DUMMYFUNCTION("IF('Original Data'!N58=""-"",""-"",
IF($D58=""Euro"",'Original Data'!N58,
IF($D58=""Dolar"",'Original Data'!N58*GOOGLEFINANCE(""Currency:USDEUR""),
IF($D58=""Franco Suíço"",'Original Data'!N58*GOOGLEFINANCE(""Currency:CHFEUR""),
IF($D58=""Libra Esterlina"&amp;""", 'Original Data'!N58*GOOGLEFINANCE(""Currency:GBPEUR""),
IF($D58=""Iene"",'Original Data'!N58*GOOGLEFINANCE(""Currency:JPYEUR""),
IF($D58=""HKD"",'Original Data'!N58*GOOGLEFINANCE(""Currency:HKDEUR""),
IF($D58=""KRW"",'Original Data'!N58*GOOGLEFINANCE("&amp;"""Currency:KRWEUR""),""""))))))))"),1.14)</f>
        <v>1.14</v>
      </c>
      <c r="O58" s="8">
        <f>IFERROR(__xludf.DUMMYFUNCTION("IF('Original Data'!O58=""-"",""-"",
IF($D58=""Euro"",'Original Data'!O58,
IF($D58=""Dolar"",'Original Data'!O58*GOOGLEFINANCE(""Currency:USDEUR""),
IF($D58=""Franco Suíço"",'Original Data'!O58*GOOGLEFINANCE(""Currency:CHFEUR""),
IF($D58=""Libra Esterlina"&amp;""", 'Original Data'!O58*GOOGLEFINANCE(""Currency:GBPEUR""),
IF($D58=""Iene"",'Original Data'!O58*GOOGLEFINANCE(""Currency:JPYEUR""),
IF($D58=""HKD"",'Original Data'!O58*GOOGLEFINANCE(""Currency:HKDEUR""),
IF($D58=""KRW"",'Original Data'!O58*GOOGLEFINANCE("&amp;"""Currency:KRWEUR""),""""))))))))"),24.34)</f>
        <v>24.34</v>
      </c>
      <c r="P58" s="8">
        <f>IFERROR(__xludf.DUMMYFUNCTION("IF('Original Data'!P58=""-"",""-"",
IF($D58=""Euro"",'Original Data'!P58,
IF($D58=""Dolar"",'Original Data'!P58*GOOGLEFINANCE(""Currency:USDEUR""),
IF($D58=""Franco Suíço"",'Original Data'!P58*GOOGLEFINANCE(""Currency:CHFEUR""),
IF($D58=""Libra Esterlina"&amp;""", 'Original Data'!P58*GOOGLEFINANCE(""Currency:GBPEUR""),
IF($D58=""Iene"",'Original Data'!P58*GOOGLEFINANCE(""Currency:JPYEUR""),
IF($D58=""HKD"",'Original Data'!P58*GOOGLEFINANCE(""Currency:HKDEUR""),
IF($D58=""KRW"",'Original Data'!P58*GOOGLEFINANCE("&amp;"""Currency:KRWEUR""),""""))))))))"),20.76)</f>
        <v>20.76</v>
      </c>
      <c r="Q58" s="8">
        <f>IFERROR(__xludf.DUMMYFUNCTION("IF('Original Data'!Q58=""-"",""-"",
IF($D58=""Euro"",'Original Data'!Q58,
IF($D58=""Dolar"",'Original Data'!Q58*GOOGLEFINANCE(""Currency:USDEUR""),
IF($D58=""Franco Suíço"",'Original Data'!Q58*GOOGLEFINANCE(""Currency:CHFEUR""),
IF($D58=""Libra Esterlina"&amp;""", 'Original Data'!Q58*GOOGLEFINANCE(""Currency:GBPEUR""),
IF($D58=""Iene"",'Original Data'!Q58*GOOGLEFINANCE(""Currency:JPYEUR""),
IF($D58=""HKD"",'Original Data'!Q58*GOOGLEFINANCE(""Currency:HKDEUR""),
IF($D58=""KRW"",'Original Data'!Q58*GOOGLEFINANCE("&amp;"""Currency:KRWEUR""),""""))))))))"),15.35)</f>
        <v>15.35</v>
      </c>
      <c r="R58" s="8">
        <f>IFERROR(__xludf.DUMMYFUNCTION("IF('Original Data'!R58=""-"",""-"",
IF($D58=""Euro"",'Original Data'!R58,
IF($D58=""Dolar"",'Original Data'!R58*GOOGLEFINANCE(""Currency:USDEUR""),
IF($D58=""Franco Suíço"",'Original Data'!R58*GOOGLEFINANCE(""Currency:CHFEUR""),
IF($D58=""Libra Esterlina"&amp;""", 'Original Data'!R58*GOOGLEFINANCE(""Currency:GBPEUR""),
IF($D58=""Iene"",'Original Data'!R58*GOOGLEFINANCE(""Currency:JPYEUR""),
IF($D58=""HKD"",'Original Data'!R58*GOOGLEFINANCE(""Currency:HKDEUR""),
IF($D58=""KRW"",'Original Data'!R58*GOOGLEFINANCE("&amp;"""Currency:KRWEUR""),""""))))))))"),22.14)</f>
        <v>22.14</v>
      </c>
      <c r="S58" s="8">
        <f>IFERROR(__xludf.DUMMYFUNCTION("IF('Original Data'!S58=""-"",""-"",
IF($D58=""Euro"",'Original Data'!S58,
IF($D58=""Dolar"",'Original Data'!S58*GOOGLEFINANCE(""Currency:USDEUR""),
IF($D58=""Franco Suíço"",'Original Data'!S58*GOOGLEFINANCE(""Currency:CHFEUR""),
IF($D58=""Libra Esterlina"&amp;""", 'Original Data'!S58*GOOGLEFINANCE(""Currency:GBPEUR""),
IF($D58=""Iene"",'Original Data'!S58*GOOGLEFINANCE(""Currency:JPYEUR""),
IF($D58=""HKD"",'Original Data'!S58*GOOGLEFINANCE(""Currency:HKDEUR""),
IF($D58=""KRW"",'Original Data'!S58*GOOGLEFINANCE("&amp;"""Currency:KRWEUR""),""""))))))))"),3.71)</f>
        <v>3.71</v>
      </c>
      <c r="T58" s="8">
        <f>IFERROR(__xludf.DUMMYFUNCTION("IF('Original Data'!T58=""-"",""-"",
IF($D58=""Euro"",'Original Data'!T58,
IF($D58=""Dolar"",'Original Data'!T58*GOOGLEFINANCE(""Currency:USDEUR""),
IF($D58=""Franco Suíço"",'Original Data'!T58*GOOGLEFINANCE(""Currency:CHFEUR""),
IF($D58=""Libra Esterlina"&amp;""", 'Original Data'!T58*GOOGLEFINANCE(""Currency:GBPEUR""),
IF($D58=""Iene"",'Original Data'!T58*GOOGLEFINANCE(""Currency:JPYEUR""),
IF($D58=""HKD"",'Original Data'!T58*GOOGLEFINANCE(""Currency:HKDEUR""),
IF($D58=""KRW"",'Original Data'!T58*GOOGLEFINANCE("&amp;"""Currency:KRWEUR""),""""))))))))"),4.06)</f>
        <v>4.06</v>
      </c>
      <c r="U58" s="8">
        <f>IFERROR(__xludf.DUMMYFUNCTION("IF('Original Data'!U58=""-"",""-"",
IF($D58=""Euro"",'Original Data'!U58,
IF($D58=""Dolar"",'Original Data'!U58*GOOGLEFINANCE(""Currency:USDEUR""),
IF($D58=""Franco Suíço"",'Original Data'!U58*GOOGLEFINANCE(""Currency:CHFEUR""),
IF($D58=""Libra Esterlina"&amp;""", 'Original Data'!U58*GOOGLEFINANCE(""Currency:GBPEUR""),
IF($D58=""Iene"",'Original Data'!U58*GOOGLEFINANCE(""Currency:JPYEUR""),
IF($D58=""HKD"",'Original Data'!U58*GOOGLEFINANCE(""Currency:HKDEUR""),
IF($D58=""KRW"",'Original Data'!U58*GOOGLEFINANCE("&amp;"""Currency:KRWEUR""),""""))))))))"),3.23)</f>
        <v>3.23</v>
      </c>
      <c r="V58" s="8">
        <f>IFERROR(__xludf.DUMMYFUNCTION("IF('Original Data'!V58=""-"",""-"",
IF($D58=""Euro"",'Original Data'!V58,
IF($D58=""Dolar"",'Original Data'!V58*GOOGLEFINANCE(""Currency:USDEUR""),
IF($D58=""Franco Suíço"",'Original Data'!V58*GOOGLEFINANCE(""Currency:CHFEUR""),
IF($D58=""Libra Esterlina"&amp;""", 'Original Data'!V58*GOOGLEFINANCE(""Currency:GBPEUR""),
IF($D58=""Iene"",'Original Data'!V58*GOOGLEFINANCE(""Currency:JPYEUR""),
IF($D58=""HKD"",'Original Data'!V58*GOOGLEFINANCE(""Currency:HKDEUR""),
IF($D58=""KRW"",'Original Data'!V58*GOOGLEFINANCE("&amp;"""Currency:KRWEUR""),""""))))))))"),3.61)</f>
        <v>3.61</v>
      </c>
      <c r="W58" s="7" t="s">
        <v>34</v>
      </c>
      <c r="X58" s="7" t="s">
        <v>35</v>
      </c>
      <c r="Y58" s="7" t="s">
        <v>41</v>
      </c>
      <c r="Z58" s="7" t="s">
        <v>41</v>
      </c>
      <c r="AA58" s="7" t="s">
        <v>42</v>
      </c>
      <c r="AB58" s="7" t="s">
        <v>34</v>
      </c>
      <c r="AC58" s="7">
        <v>18.0</v>
      </c>
      <c r="AD58" s="7">
        <v>7.8</v>
      </c>
      <c r="AE58" s="7">
        <v>5.2</v>
      </c>
      <c r="AF58" s="7">
        <v>5.2</v>
      </c>
      <c r="AG58" s="7">
        <v>1.0</v>
      </c>
    </row>
    <row r="59">
      <c r="A59" s="16" t="s">
        <v>216</v>
      </c>
      <c r="B59" s="16" t="s">
        <v>217</v>
      </c>
      <c r="C59" s="16" t="s">
        <v>218</v>
      </c>
      <c r="D59" s="7" t="s">
        <v>146</v>
      </c>
      <c r="E59" s="8">
        <f>IFERROR(__xludf.DUMMYFUNCTION("IF($D59=""Euro"",'Original Data'!E59,
IF($D59=""Dolar"",'Original Data'!E59*GOOGLEFINANCE(""Currency:USDEUR""),
IF($D59=""Franco Suíço"",'Original Data'!E59*GOOGLEFINANCE(""Currency:CHFEUR""),
IF($D59=""Libra Esterlina"", 'Original Data'!E59*GOOGLEFINANCE"&amp;"(""Currency:GBPEUR""),
IF($D59=""Iene"",'Original Data'!E59*GOOGLEFINANCE(""Currency:JPYEUR""),
IF($D59=""HKD"",'Original Data'!E59*GOOGLEFINANCE(""Currency:HKDEUR""),
IF($D59=""KRW"",'Original Data'!E59*GOOGLEFINANCE(""Currency:KRWEUR""),"""")))))))"),51.73423103099999)</f>
        <v>51.73423103</v>
      </c>
      <c r="F59" s="8">
        <f>IFERROR(__xludf.DUMMYFUNCTION("IF($D59=""Euro"",'Original Data'!F59,
IF($D59=""Dolar"",'Original Data'!F59*GOOGLEFINANCE(""Currency:USDEUR""),
IF($D59=""Franco Suíço"",'Original Data'!F59*GOOGLEFINANCE(""Currency:CHFEUR""),
IF($D59=""Libra Esterlina"", 'Original Data'!F59*GOOGLEFINANCE"&amp;"(""Currency:GBPEUR""),
IF($D59=""Iene"",'Original Data'!F59*GOOGLEFINANCE(""Currency:JPYEUR""),
IF($D59=""HKD"",'Original Data'!F59*GOOGLEFINANCE(""Currency:HKDEUR""),
IF($D59=""KRW"",'Original Data'!F59*GOOGLEFINANCE(""Currency:KRWEUR""),"""")))))))"),122.62791581775)</f>
        <v>122.6279158</v>
      </c>
      <c r="G59" s="8">
        <f>IFERROR(__xludf.DUMMYFUNCTION("IF($D59=""Euro"",'Original Data'!G59,
IF($D59=""Dolar"",'Original Data'!G59*GOOGLEFINANCE(""Currency:USDEUR""),
IF($D59=""Franco Suíço"",'Original Data'!G59*GOOGLEFINANCE(""Currency:CHFEUR""),
IF($D59=""Libra Esterlina"", 'Original Data'!G59*GOOGLEFINANCE"&amp;"(""Currency:GBPEUR""),
IF($D59=""Iene"",'Original Data'!G59*GOOGLEFINANCE(""Currency:JPYEUR""),
IF($D59=""HKD"",'Original Data'!G59*GOOGLEFINANCE(""Currency:HKDEUR""),
IF($D59=""KRW"",'Original Data'!G59*GOOGLEFINANCE(""Currency:KRWEUR""),"""")))))))"),24.1327587732)</f>
        <v>24.13275877</v>
      </c>
      <c r="H59" s="17">
        <v>0.705426</v>
      </c>
      <c r="I59" s="7" t="s">
        <v>41</v>
      </c>
      <c r="J59" s="9">
        <v>0.008</v>
      </c>
      <c r="K59" s="9">
        <v>0.0368</v>
      </c>
      <c r="L59" s="9">
        <v>0.0338</v>
      </c>
      <c r="M59" s="9">
        <v>0.0888</v>
      </c>
      <c r="N59" s="8">
        <f>IFERROR(__xludf.DUMMYFUNCTION("IF('Original Data'!N59=""-"",""-"",
IF($D59=""Euro"",'Original Data'!N59,
IF($D59=""Dolar"",'Original Data'!N59*GOOGLEFINANCE(""Currency:USDEUR""),
IF($D59=""Franco Suíço"",'Original Data'!N59*GOOGLEFINANCE(""Currency:CHFEUR""),
IF($D59=""Libra Esterlina"&amp;""", 'Original Data'!N59*GOOGLEFINANCE(""Currency:GBPEUR""),
IF($D59=""Iene"",'Original Data'!N59*GOOGLEFINANCE(""Currency:JPYEUR""),
IF($D59=""HKD"",'Original Data'!N59*GOOGLEFINANCE(""Currency:HKDEUR""),
IF($D59=""KRW"",'Original Data'!N59*GOOGLEFINANCE("&amp;"""Currency:KRWEUR""),""""))))))))"),-7.6004107751775)</f>
        <v>-7.600410775</v>
      </c>
      <c r="O59" s="8">
        <f>IFERROR(__xludf.DUMMYFUNCTION("IF('Original Data'!O59=""-"",""-"",
IF($D59=""Euro"",'Original Data'!O59,
IF($D59=""Dolar"",'Original Data'!O59*GOOGLEFINANCE(""Currency:USDEUR""),
IF($D59=""Franco Suíço"",'Original Data'!O59*GOOGLEFINANCE(""Currency:CHFEUR""),
IF($D59=""Libra Esterlina"&amp;""", 'Original Data'!O59*GOOGLEFINANCE(""Currency:GBPEUR""),
IF($D59=""Iene"",'Original Data'!O59*GOOGLEFINANCE(""Currency:JPYEUR""),
IF($D59=""HKD"",'Original Data'!O59*GOOGLEFINANCE(""Currency:HKDEUR""),
IF($D59=""KRW"",'Original Data'!O59*GOOGLEFINANCE("&amp;"""Currency:KRWEUR""),""""))))))))"),13.489441328999998)</f>
        <v>13.48944133</v>
      </c>
      <c r="P59" s="8">
        <f>IFERROR(__xludf.DUMMYFUNCTION("IF('Original Data'!P59=""-"",""-"",
IF($D59=""Euro"",'Original Data'!P59,
IF($D59=""Dolar"",'Original Data'!P59*GOOGLEFINANCE(""Currency:USDEUR""),
IF($D59=""Franco Suíço"",'Original Data'!P59*GOOGLEFINANCE(""Currency:CHFEUR""),
IF($D59=""Libra Esterlina"&amp;""", 'Original Data'!P59*GOOGLEFINANCE(""Currency:GBPEUR""),
IF($D59=""Iene"",'Original Data'!P59*GOOGLEFINANCE(""Currency:JPYEUR""),
IF($D59=""HKD"",'Original Data'!P59*GOOGLEFINANCE(""Currency:HKDEUR""),
IF($D59=""KRW"",'Original Data'!P59*GOOGLEFINANCE("&amp;"""Currency:KRWEUR""),""""))))))))"),13.934148185999998)</f>
        <v>13.93414819</v>
      </c>
      <c r="Q59" s="8">
        <f>IFERROR(__xludf.DUMMYFUNCTION("IF('Original Data'!Q59=""-"",""-"",
IF($D59=""Euro"",'Original Data'!Q59,
IF($D59=""Dolar"",'Original Data'!Q59*GOOGLEFINANCE(""Currency:USDEUR""),
IF($D59=""Franco Suíço"",'Original Data'!Q59*GOOGLEFINANCE(""Currency:CHFEUR""),
IF($D59=""Libra Esterlina"&amp;""", 'Original Data'!Q59*GOOGLEFINANCE(""Currency:GBPEUR""),
IF($D59=""Iene"",'Original Data'!Q59*GOOGLEFINANCE(""Currency:JPYEUR""),
IF($D59=""HKD"",'Original Data'!Q59*GOOGLEFINANCE(""Currency:HKDEUR""),
IF($D59=""KRW"",'Original Data'!Q59*GOOGLEFINANCE("&amp;"""Currency:KRWEUR""),""""))))))))"),13.637676948)</f>
        <v>13.63767695</v>
      </c>
      <c r="R59" s="8">
        <f>IFERROR(__xludf.DUMMYFUNCTION("IF('Original Data'!R59=""-"",""-"",
IF($D59=""Euro"",'Original Data'!R59,
IF($D59=""Dolar"",'Original Data'!R59*GOOGLEFINANCE(""Currency:USDEUR""),
IF($D59=""Franco Suíço"",'Original Data'!R59*GOOGLEFINANCE(""Currency:CHFEUR""),
IF($D59=""Libra Esterlina"&amp;""", 'Original Data'!R59*GOOGLEFINANCE(""Currency:GBPEUR""),
IF($D59=""Iene"",'Original Data'!R59*GOOGLEFINANCE(""Currency:JPYEUR""),
IF($D59=""HKD"",'Original Data'!R59*GOOGLEFINANCE(""Currency:HKDEUR""),
IF($D59=""KRW"",'Original Data'!R59*GOOGLEFINANCE("&amp;"""Currency:KRWEUR""),""""))))))))"),6.103749847943999)</f>
        <v>6.103749848</v>
      </c>
      <c r="S59" s="8">
        <f>IFERROR(__xludf.DUMMYFUNCTION("IF('Original Data'!S59=""-"",""-"",
IF($D59=""Euro"",'Original Data'!S59,
IF($D59=""Dolar"",'Original Data'!S59*GOOGLEFINANCE(""Currency:USDEUR""),
IF($D59=""Franco Suíço"",'Original Data'!S59*GOOGLEFINANCE(""Currency:CHFEUR""),
IF($D59=""Libra Esterlina"&amp;""", 'Original Data'!S59*GOOGLEFINANCE(""Currency:GBPEUR""),
IF($D59=""Iene"",'Original Data'!S59*GOOGLEFINANCE(""Currency:JPYEUR""),
IF($D59=""HKD"",'Original Data'!S59*GOOGLEFINANCE(""Currency:HKDEUR""),
IF($D59=""KRW"",'Original Data'!S59*GOOGLEFINANCE("&amp;"""Currency:KRWEUR""),""""))))))))"),6.4720412433495)</f>
        <v>6.472041243</v>
      </c>
      <c r="T59" s="8">
        <f>IFERROR(__xludf.DUMMYFUNCTION("IF('Original Data'!T59=""-"",""-"",
IF($D59=""Euro"",'Original Data'!T59,
IF($D59=""Dolar"",'Original Data'!T59*GOOGLEFINANCE(""Currency:USDEUR""),
IF($D59=""Franco Suíço"",'Original Data'!T59*GOOGLEFINANCE(""Currency:CHFEUR""),
IF($D59=""Libra Esterlina"&amp;""", 'Original Data'!T59*GOOGLEFINANCE(""Currency:GBPEUR""),
IF($D59=""Iene"",'Original Data'!T59*GOOGLEFINANCE(""Currency:JPYEUR""),
IF($D59=""HKD"",'Original Data'!T59*GOOGLEFINANCE(""Currency:HKDEUR""),
IF($D59=""KRW"",'Original Data'!T59*GOOGLEFINANCE("&amp;"""Currency:KRWEUR""),""""))))))))"),6.826546726187999)</f>
        <v>6.826546726</v>
      </c>
      <c r="U59" s="8">
        <f>IFERROR(__xludf.DUMMYFUNCTION("IF('Original Data'!U59=""-"",""-"",
IF($D59=""Euro"",'Original Data'!U59,
IF($D59=""Dolar"",'Original Data'!U59*GOOGLEFINANCE(""Currency:USDEUR""),
IF($D59=""Franco Suíço"",'Original Data'!U59*GOOGLEFINANCE(""Currency:CHFEUR""),
IF($D59=""Libra Esterlina"&amp;""", 'Original Data'!U59*GOOGLEFINANCE(""Currency:GBPEUR""),
IF($D59=""Iene"",'Original Data'!U59*GOOGLEFINANCE(""Currency:JPYEUR""),
IF($D59=""HKD"",'Original Data'!U59*GOOGLEFINANCE(""Currency:HKDEUR""),
IF($D59=""KRW"",'Original Data'!U59*GOOGLEFINANCE("&amp;"""Currency:KRWEUR""),""""))))))))"),6.4787118462045)</f>
        <v>6.478711846</v>
      </c>
      <c r="V59" s="8">
        <f>IFERROR(__xludf.DUMMYFUNCTION("IF('Original Data'!V59=""-"",""-"",
IF($D59=""Euro"",'Original Data'!V59,
IF($D59=""Dolar"",'Original Data'!V59*GOOGLEFINANCE(""Currency:USDEUR""),
IF($D59=""Franco Suíço"",'Original Data'!V59*GOOGLEFINANCE(""Currency:CHFEUR""),
IF($D59=""Libra Esterlina"&amp;""", 'Original Data'!V59*GOOGLEFINANCE(""Currency:GBPEUR""),
IF($D59=""Iene"",'Original Data'!V59*GOOGLEFINANCE(""Currency:JPYEUR""),
IF($D59=""HKD"",'Original Data'!V59*GOOGLEFINANCE(""Currency:HKDEUR""),
IF($D59=""KRW"",'Original Data'!V59*GOOGLEFINANCE("&amp;"""Currency:KRWEUR""),""""))))))))"),0.10828611967949998)</f>
        <v>0.1082861197</v>
      </c>
      <c r="W59" s="7" t="s">
        <v>43</v>
      </c>
      <c r="X59" s="7" t="s">
        <v>43</v>
      </c>
      <c r="Y59" s="7" t="s">
        <v>41</v>
      </c>
      <c r="Z59" s="7" t="s">
        <v>59</v>
      </c>
      <c r="AA59" s="7" t="s">
        <v>59</v>
      </c>
      <c r="AB59" s="7" t="s">
        <v>59</v>
      </c>
      <c r="AC59" s="7">
        <v>28.0</v>
      </c>
      <c r="AD59" s="7">
        <v>10.1</v>
      </c>
      <c r="AE59" s="7">
        <v>12.5</v>
      </c>
      <c r="AF59" s="7">
        <v>5.8</v>
      </c>
      <c r="AG59" s="7">
        <v>2.0</v>
      </c>
    </row>
    <row r="60">
      <c r="A60" s="16" t="s">
        <v>219</v>
      </c>
      <c r="B60" s="16" t="s">
        <v>220</v>
      </c>
      <c r="C60" s="16" t="s">
        <v>221</v>
      </c>
      <c r="D60" s="7" t="s">
        <v>124</v>
      </c>
      <c r="E60" s="8">
        <f>IFERROR(__xludf.DUMMYFUNCTION("IF($D60=""Euro"",'Original Data'!E60,
IF($D60=""Dolar"",'Original Data'!E60*GOOGLEFINANCE(""Currency:USDEUR""),
IF($D60=""Franco Suíço"",'Original Data'!E60*GOOGLEFINANCE(""Currency:CHFEUR""),
IF($D60=""Libra Esterlina"", 'Original Data'!E60*GOOGLEFINANCE"&amp;"(""Currency:GBPEUR""),
IF($D60=""Iene"",'Original Data'!E60*GOOGLEFINANCE(""Currency:JPYEUR""),
IF($D60=""HKD"",'Original Data'!E60*GOOGLEFINANCE(""Currency:HKDEUR""),
IF($D60=""KRW"",'Original Data'!E60*GOOGLEFINANCE(""Currency:KRWEUR""),"""")))))))"),17.563251616)</f>
        <v>17.56325162</v>
      </c>
      <c r="F60" s="8">
        <f>IFERROR(__xludf.DUMMYFUNCTION("IF($D60=""Euro"",'Original Data'!F60,
IF($D60=""Dolar"",'Original Data'!F60*GOOGLEFINANCE(""Currency:USDEUR""),
IF($D60=""Franco Suíço"",'Original Data'!F60*GOOGLEFINANCE(""Currency:CHFEUR""),
IF($D60=""Libra Esterlina"", 'Original Data'!F60*GOOGLEFINANCE"&amp;"(""Currency:GBPEUR""),
IF($D60=""Iene"",'Original Data'!F60*GOOGLEFINANCE(""Currency:JPYEUR""),
IF($D60=""HKD"",'Original Data'!F60*GOOGLEFINANCE(""Currency:HKDEUR""),
IF($D60=""KRW"",'Original Data'!F60*GOOGLEFINANCE(""Currency:KRWEUR""),"""")))))))"),152.5672336)</f>
        <v>152.5672336</v>
      </c>
      <c r="G60" s="8">
        <f>IFERROR(__xludf.DUMMYFUNCTION("IF($D60=""Euro"",'Original Data'!G60,
IF($D60=""Dolar"",'Original Data'!G60*GOOGLEFINANCE(""Currency:USDEUR""),
IF($D60=""Franco Suíço"",'Original Data'!G60*GOOGLEFINANCE(""Currency:CHFEUR""),
IF($D60=""Libra Esterlina"", 'Original Data'!G60*GOOGLEFINANCE"&amp;"(""Currency:GBPEUR""),
IF($D60=""Iene"",'Original Data'!G60*GOOGLEFINANCE(""Currency:JPYEUR""),
IF($D60=""HKD"",'Original Data'!G60*GOOGLEFINANCE(""Currency:HKDEUR""),
IF($D60=""KRW"",'Original Data'!G60*GOOGLEFINANCE(""Currency:KRWEUR""),"""")))))))"),42.730838576000004)</f>
        <v>42.73083858</v>
      </c>
      <c r="H60" s="17">
        <v>140.827</v>
      </c>
      <c r="I60" s="7" t="s">
        <v>41</v>
      </c>
      <c r="J60" s="9">
        <v>0.0591</v>
      </c>
      <c r="K60" s="9">
        <v>-0.0021</v>
      </c>
      <c r="L60" s="9">
        <v>-0.0016</v>
      </c>
      <c r="M60" s="9">
        <v>-0.0092</v>
      </c>
      <c r="N60" s="8">
        <f>'Original Data'!N60</f>
        <v>-0.5</v>
      </c>
      <c r="O60" s="8">
        <f>'Original Data'!O60</f>
        <v>46.571</v>
      </c>
      <c r="P60" s="8">
        <f>'Original Data'!P60</f>
        <v>43.666</v>
      </c>
      <c r="Q60" s="8">
        <f>'Original Data'!Q60</f>
        <v>44.974</v>
      </c>
      <c r="R60" s="8">
        <f>'Original Data'!R60</f>
        <v>43.809</v>
      </c>
      <c r="S60" s="8">
        <f>'Original Data'!S60</f>
        <v>12.99</v>
      </c>
      <c r="T60" s="8">
        <f>'Original Data'!T60</f>
        <v>12.27</v>
      </c>
      <c r="U60" s="8">
        <f>'Original Data'!U60</f>
        <v>16.55</v>
      </c>
      <c r="V60" s="8">
        <f>'Original Data'!V60</f>
        <v>16.64</v>
      </c>
      <c r="W60" s="7" t="s">
        <v>34</v>
      </c>
      <c r="X60" s="7" t="s">
        <v>35</v>
      </c>
      <c r="Y60" s="7" t="s">
        <v>41</v>
      </c>
      <c r="Z60" s="7" t="s">
        <v>41</v>
      </c>
      <c r="AA60" s="7" t="s">
        <v>41</v>
      </c>
      <c r="AB60" s="7" t="s">
        <v>41</v>
      </c>
      <c r="AC60" s="7">
        <v>16.0</v>
      </c>
      <c r="AD60" s="7">
        <v>2.5</v>
      </c>
      <c r="AE60" s="7">
        <v>7.8</v>
      </c>
      <c r="AF60" s="7">
        <v>5.4</v>
      </c>
      <c r="AG60" s="7">
        <v>2.0</v>
      </c>
    </row>
    <row r="61">
      <c r="A61" s="16" t="s">
        <v>222</v>
      </c>
      <c r="B61" s="16" t="s">
        <v>223</v>
      </c>
      <c r="C61" s="16" t="s">
        <v>224</v>
      </c>
      <c r="D61" s="7" t="s">
        <v>33</v>
      </c>
      <c r="E61" s="8">
        <f>IFERROR(__xludf.DUMMYFUNCTION("IF($D61=""Euro"",'Original Data'!E61,
IF($D61=""Dolar"",'Original Data'!E61*GOOGLEFINANCE(""Currency:USDEUR""),
IF($D61=""Franco Suíço"",'Original Data'!E61*GOOGLEFINANCE(""Currency:CHFEUR""),
IF($D61=""Libra Esterlina"", 'Original Data'!E61*GOOGLEFINANCE"&amp;"(""Currency:GBPEUR""),
IF($D61=""Iene"",'Original Data'!E61*GOOGLEFINANCE(""Currency:JPYEUR""),
IF($D61=""HKD"",'Original Data'!E61*GOOGLEFINANCE(""Currency:HKDEUR""),
IF($D61=""KRW"",'Original Data'!E61*GOOGLEFINANCE(""Currency:KRWEUR""),"""")))))))"),2.79)</f>
        <v>2.79</v>
      </c>
      <c r="F61" s="8">
        <f>IFERROR(__xludf.DUMMYFUNCTION("IF($D61=""Euro"",'Original Data'!F61,
IF($D61=""Dolar"",'Original Data'!F61*GOOGLEFINANCE(""Currency:USDEUR""),
IF($D61=""Franco Suíço"",'Original Data'!F61*GOOGLEFINANCE(""Currency:CHFEUR""),
IF($D61=""Libra Esterlina"", 'Original Data'!F61*GOOGLEFINANCE"&amp;"(""Currency:GBPEUR""),
IF($D61=""Iene"",'Original Data'!F61*GOOGLEFINANCE(""Currency:JPYEUR""),
IF($D61=""HKD"",'Original Data'!F61*GOOGLEFINANCE(""Currency:HKDEUR""),
IF($D61=""KRW"",'Original Data'!F61*GOOGLEFINANCE(""Currency:KRWEUR""),"""")))))))"),3.84)</f>
        <v>3.84</v>
      </c>
      <c r="G61" s="8">
        <f>IFERROR(__xludf.DUMMYFUNCTION("IF($D61=""Euro"",'Original Data'!G61,
IF($D61=""Dolar"",'Original Data'!G61*GOOGLEFINANCE(""Currency:USDEUR""),
IF($D61=""Franco Suíço"",'Original Data'!G61*GOOGLEFINANCE(""Currency:CHFEUR""),
IF($D61=""Libra Esterlina"", 'Original Data'!G61*GOOGLEFINANCE"&amp;"(""Currency:GBPEUR""),
IF($D61=""Iene"",'Original Data'!G61*GOOGLEFINANCE(""Currency:JPYEUR""),
IF($D61=""HKD"",'Original Data'!G61*GOOGLEFINANCE(""Currency:HKDEUR""),
IF($D61=""KRW"",'Original Data'!G61*GOOGLEFINANCE(""Currency:KRWEUR""),"""")))))))"),0.894)</f>
        <v>0.894</v>
      </c>
      <c r="H61" s="17">
        <v>0.43275</v>
      </c>
      <c r="I61" s="7" t="s">
        <v>41</v>
      </c>
      <c r="J61" s="7" t="s">
        <v>51</v>
      </c>
      <c r="K61" s="9">
        <v>0.0159</v>
      </c>
      <c r="L61" s="9">
        <v>0.0151</v>
      </c>
      <c r="M61" s="9">
        <v>0.0259</v>
      </c>
      <c r="N61" s="8">
        <f>IFERROR(__xludf.DUMMYFUNCTION("IF('Original Data'!N61=""-"",""-"",
IF($D61=""Euro"",'Original Data'!N61,
IF($D61=""Dolar"",'Original Data'!N61*GOOGLEFINANCE(""Currency:USDEUR""),
IF($D61=""Franco Suíço"",'Original Data'!N61*GOOGLEFINANCE(""Currency:CHFEUR""),
IF($D61=""Libra Esterlina"&amp;""", 'Original Data'!N61*GOOGLEFINANCE(""Currency:GBPEUR""),
IF($D61=""Iene"",'Original Data'!N61*GOOGLEFINANCE(""Currency:JPYEUR""),
IF($D61=""HKD"",'Original Data'!N61*GOOGLEFINANCE(""Currency:HKDEUR""),
IF($D61=""KRW"",'Original Data'!N61*GOOGLEFINANCE("&amp;"""Currency:KRWEUR""),""""))))))))"),-0.03)</f>
        <v>-0.03</v>
      </c>
      <c r="O61" s="8">
        <f>IFERROR(__xludf.DUMMYFUNCTION("IF('Original Data'!O61=""-"",""-"",
IF($D61=""Euro"",'Original Data'!O61,
IF($D61=""Dolar"",'Original Data'!O61*GOOGLEFINANCE(""Currency:USDEUR""),
IF($D61=""Franco Suíço"",'Original Data'!O61*GOOGLEFINANCE(""Currency:CHFEUR""),
IF($D61=""Libra Esterlina"&amp;""", 'Original Data'!O61*GOOGLEFINANCE(""Currency:GBPEUR""),
IF($D61=""Iene"",'Original Data'!O61*GOOGLEFINANCE(""Currency:JPYEUR""),
IF($D61=""HKD"",'Original Data'!O61*GOOGLEFINANCE(""Currency:HKDEUR""),
IF($D61=""KRW"",'Original Data'!O61*GOOGLEFINANCE("&amp;"""Currency:KRWEUR""),""""))))))))"),0.39257)</f>
        <v>0.39257</v>
      </c>
      <c r="P61" s="8">
        <f>IFERROR(__xludf.DUMMYFUNCTION("IF('Original Data'!P61=""-"",""-"",
IF($D61=""Euro"",'Original Data'!P61,
IF($D61=""Dolar"",'Original Data'!P61*GOOGLEFINANCE(""Currency:USDEUR""),
IF($D61=""Franco Suíço"",'Original Data'!P61*GOOGLEFINANCE(""Currency:CHFEUR""),
IF($D61=""Libra Esterlina"&amp;""", 'Original Data'!P61*GOOGLEFINANCE(""Currency:GBPEUR""),
IF($D61=""Iene"",'Original Data'!P61*GOOGLEFINANCE(""Currency:JPYEUR""),
IF($D61=""HKD"",'Original Data'!P61*GOOGLEFINANCE(""Currency:HKDEUR""),
IF($D61=""KRW"",'Original Data'!P61*GOOGLEFINANCE("&amp;"""Currency:KRWEUR""),""""))))))))"),0.42918)</f>
        <v>0.42918</v>
      </c>
      <c r="Q61" s="8">
        <f>IFERROR(__xludf.DUMMYFUNCTION("IF('Original Data'!Q61=""-"",""-"",
IF($D61=""Euro"",'Original Data'!Q61,
IF($D61=""Dolar"",'Original Data'!Q61*GOOGLEFINANCE(""Currency:USDEUR""),
IF($D61=""Franco Suíço"",'Original Data'!Q61*GOOGLEFINANCE(""Currency:CHFEUR""),
IF($D61=""Libra Esterlina"&amp;""", 'Original Data'!Q61*GOOGLEFINANCE(""Currency:GBPEUR""),
IF($D61=""Iene"",'Original Data'!Q61*GOOGLEFINANCE(""Currency:JPYEUR""),
IF($D61=""HKD"",'Original Data'!Q61*GOOGLEFINANCE(""Currency:HKDEUR""),
IF($D61=""KRW"",'Original Data'!Q61*GOOGLEFINANCE("&amp;"""Currency:KRWEUR""),""""))))))))"),0.13682)</f>
        <v>0.13682</v>
      </c>
      <c r="R61" s="8">
        <f>IFERROR(__xludf.DUMMYFUNCTION("IF('Original Data'!R61=""-"",""-"",
IF($D61=""Euro"",'Original Data'!R61,
IF($D61=""Dolar"",'Original Data'!R61*GOOGLEFINANCE(""Currency:USDEUR""),
IF($D61=""Franco Suíço"",'Original Data'!R61*GOOGLEFINANCE(""Currency:CHFEUR""),
IF($D61=""Libra Esterlina"&amp;""", 'Original Data'!R61*GOOGLEFINANCE(""Currency:GBPEUR""),
IF($D61=""Iene"",'Original Data'!R61*GOOGLEFINANCE(""Currency:JPYEUR""),
IF($D61=""HKD"",'Original Data'!R61*GOOGLEFINANCE(""Currency:HKDEUR""),
IF($D61=""KRW"",'Original Data'!R61*GOOGLEFINANCE("&amp;"""Currency:KRWEUR""),""""))))))))"),0.19199)</f>
        <v>0.19199</v>
      </c>
      <c r="S61" s="8">
        <f>IFERROR(__xludf.DUMMYFUNCTION("IF('Original Data'!S61=""-"",""-"",
IF($D61=""Euro"",'Original Data'!S61,
IF($D61=""Dolar"",'Original Data'!S61*GOOGLEFINANCE(""Currency:USDEUR""),
IF($D61=""Franco Suíço"",'Original Data'!S61*GOOGLEFINANCE(""Currency:CHFEUR""),
IF($D61=""Libra Esterlina"&amp;""", 'Original Data'!S61*GOOGLEFINANCE(""Currency:GBPEUR""),
IF($D61=""Iene"",'Original Data'!S61*GOOGLEFINANCE(""Currency:JPYEUR""),
IF($D61=""HKD"",'Original Data'!S61*GOOGLEFINANCE(""Currency:HKDEUR""),
IF($D61=""KRW"",'Original Data'!S61*GOOGLEFINANCE("&amp;"""Currency:KRWEUR""),""""))))))))"),0.11255)</f>
        <v>0.11255</v>
      </c>
      <c r="T61" s="8">
        <f>IFERROR(__xludf.DUMMYFUNCTION("IF('Original Data'!T61=""-"",""-"",
IF($D61=""Euro"",'Original Data'!T61,
IF($D61=""Dolar"",'Original Data'!T61*GOOGLEFINANCE(""Currency:USDEUR""),
IF($D61=""Franco Suíço"",'Original Data'!T61*GOOGLEFINANCE(""Currency:CHFEUR""),
IF($D61=""Libra Esterlina"&amp;""", 'Original Data'!T61*GOOGLEFINANCE(""Currency:GBPEUR""),
IF($D61=""Iene"",'Original Data'!T61*GOOGLEFINANCE(""Currency:JPYEUR""),
IF($D61=""HKD"",'Original Data'!T61*GOOGLEFINANCE(""Currency:HKDEUR""),
IF($D61=""KRW"",'Original Data'!T61*GOOGLEFINANCE("&amp;"""Currency:KRWEUR""),""""))))))))"),0.16094)</f>
        <v>0.16094</v>
      </c>
      <c r="U61" s="8">
        <f>IFERROR(__xludf.DUMMYFUNCTION("IF('Original Data'!U61=""-"",""-"",
IF($D61=""Euro"",'Original Data'!U61,
IF($D61=""Dolar"",'Original Data'!U61*GOOGLEFINANCE(""Currency:USDEUR""),
IF($D61=""Franco Suíço"",'Original Data'!U61*GOOGLEFINANCE(""Currency:CHFEUR""),
IF($D61=""Libra Esterlina"&amp;""", 'Original Data'!U61*GOOGLEFINANCE(""Currency:GBPEUR""),
IF($D61=""Iene"",'Original Data'!U61*GOOGLEFINANCE(""Currency:JPYEUR""),
IF($D61=""HKD"",'Original Data'!U61*GOOGLEFINANCE(""Currency:HKDEUR""),
IF($D61=""KRW"",'Original Data'!U61*GOOGLEFINANCE("&amp;"""Currency:KRWEUR""),""""))))))))"),-0.01343)</f>
        <v>-0.01343</v>
      </c>
      <c r="V61" s="8">
        <f>IFERROR(__xludf.DUMMYFUNCTION("IF('Original Data'!V61=""-"",""-"",
IF($D61=""Euro"",'Original Data'!V61,
IF($D61=""Dolar"",'Original Data'!V61*GOOGLEFINANCE(""Currency:USDEUR""),
IF($D61=""Franco Suíço"",'Original Data'!V61*GOOGLEFINANCE(""Currency:CHFEUR""),
IF($D61=""Libra Esterlina"&amp;""", 'Original Data'!V61*GOOGLEFINANCE(""Currency:GBPEUR""),
IF($D61=""Iene"",'Original Data'!V61*GOOGLEFINANCE(""Currency:JPYEUR""),
IF($D61=""HKD"",'Original Data'!V61*GOOGLEFINANCE(""Currency:HKDEUR""),
IF($D61=""KRW"",'Original Data'!V61*GOOGLEFINANCE("&amp;"""Currency:KRWEUR""),""""))))))))"),0.01452)</f>
        <v>0.01452</v>
      </c>
      <c r="W61" s="7" t="s">
        <v>43</v>
      </c>
      <c r="X61" s="7" t="s">
        <v>43</v>
      </c>
      <c r="Y61" s="7" t="s">
        <v>41</v>
      </c>
      <c r="Z61" s="7" t="s">
        <v>41</v>
      </c>
      <c r="AA61" s="7" t="s">
        <v>41</v>
      </c>
      <c r="AB61" s="7" t="s">
        <v>41</v>
      </c>
      <c r="AC61" s="7" t="s">
        <v>41</v>
      </c>
      <c r="AD61" s="7" t="s">
        <v>41</v>
      </c>
      <c r="AE61" s="7" t="s">
        <v>41</v>
      </c>
      <c r="AF61" s="7" t="s">
        <v>41</v>
      </c>
      <c r="AG61" s="7" t="s">
        <v>41</v>
      </c>
    </row>
    <row r="62">
      <c r="A62" s="16" t="s">
        <v>225</v>
      </c>
      <c r="B62" s="16" t="s">
        <v>226</v>
      </c>
      <c r="C62" s="16" t="s">
        <v>227</v>
      </c>
      <c r="D62" s="7" t="s">
        <v>33</v>
      </c>
      <c r="E62" s="8">
        <f>IFERROR(__xludf.DUMMYFUNCTION("IF($D62=""Euro"",'Original Data'!E62,
IF($D62=""Dolar"",'Original Data'!E62*GOOGLEFINANCE(""Currency:USDEUR""),
IF($D62=""Franco Suíço"",'Original Data'!E62*GOOGLEFINANCE(""Currency:CHFEUR""),
IF($D62=""Libra Esterlina"", 'Original Data'!E62*GOOGLEFINANCE"&amp;"(""Currency:GBPEUR""),
IF($D62=""Iene"",'Original Data'!E62*GOOGLEFINANCE(""Currency:JPYEUR""),
IF($D62=""HKD"",'Original Data'!E62*GOOGLEFINANCE(""Currency:HKDEUR""),
IF($D62=""KRW"",'Original Data'!E62*GOOGLEFINANCE(""Currency:KRWEUR""),"""")))))))"),1.2049)</f>
        <v>1.2049</v>
      </c>
      <c r="F62" s="8">
        <f>IFERROR(__xludf.DUMMYFUNCTION("IF($D62=""Euro"",'Original Data'!F62,
IF($D62=""Dolar"",'Original Data'!F62*GOOGLEFINANCE(""Currency:USDEUR""),
IF($D62=""Franco Suíço"",'Original Data'!F62*GOOGLEFINANCE(""Currency:CHFEUR""),
IF($D62=""Libra Esterlina"", 'Original Data'!F62*GOOGLEFINANCE"&amp;"(""Currency:GBPEUR""),
IF($D62=""Iene"",'Original Data'!F62*GOOGLEFINANCE(""Currency:JPYEUR""),
IF($D62=""HKD"",'Original Data'!F62*GOOGLEFINANCE(""Currency:HKDEUR""),
IF($D62=""KRW"",'Original Data'!F62*GOOGLEFINANCE(""Currency:KRWEUR""),"""")))))))"),1.886)</f>
        <v>1.886</v>
      </c>
      <c r="G62" s="8">
        <f>IFERROR(__xludf.DUMMYFUNCTION("IF($D62=""Euro"",'Original Data'!G62,
IF($D62=""Dolar"",'Original Data'!G62*GOOGLEFINANCE(""Currency:USDEUR""),
IF($D62=""Franco Suíço"",'Original Data'!G62*GOOGLEFINANCE(""Currency:CHFEUR""),
IF($D62=""Libra Esterlina"", 'Original Data'!G62*GOOGLEFINANCE"&amp;"(""Currency:GBPEUR""),
IF($D62=""Iene"",'Original Data'!G62*GOOGLEFINANCE(""Currency:JPYEUR""),
IF($D62=""HKD"",'Original Data'!G62*GOOGLEFINANCE(""Currency:HKDEUR""),
IF($D62=""KRW"",'Original Data'!G62*GOOGLEFINANCE(""Currency:KRWEUR""),"""")))))))"),5.666)</f>
        <v>5.666</v>
      </c>
      <c r="H62" s="17">
        <v>4.083</v>
      </c>
      <c r="I62" s="7">
        <v>7.4</v>
      </c>
      <c r="J62" s="9">
        <v>0.0901</v>
      </c>
      <c r="K62" s="7" t="s">
        <v>51</v>
      </c>
      <c r="L62" s="9">
        <v>0.014</v>
      </c>
      <c r="M62" s="9">
        <v>0.0732</v>
      </c>
      <c r="N62" s="8">
        <f>IFERROR(__xludf.DUMMYFUNCTION("IF('Original Data'!N62=""-"",""-"",
IF($D62=""Euro"",'Original Data'!N62,
IF($D62=""Dolar"",'Original Data'!N62*GOOGLEFINANCE(""Currency:USDEUR""),
IF($D62=""Franco Suíço"",'Original Data'!N62*GOOGLEFINANCE(""Currency:CHFEUR""),
IF($D62=""Libra Esterlina"&amp;""", 'Original Data'!N62*GOOGLEFINANCE(""Currency:GBPEUR""),
IF($D62=""Iene"",'Original Data'!N62*GOOGLEFINANCE(""Currency:JPYEUR""),
IF($D62=""HKD"",'Original Data'!N62*GOOGLEFINANCE(""Currency:HKDEUR""),
IF($D62=""KRW"",'Original Data'!N62*GOOGLEFINANCE("&amp;"""Currency:KRWEUR""),""""))))))))"),0.25)</f>
        <v>0.25</v>
      </c>
      <c r="O62" s="8">
        <f>IFERROR(__xludf.DUMMYFUNCTION("IF('Original Data'!O62=""-"",""-"",
IF($D62=""Euro"",'Original Data'!O62,
IF($D62=""Dolar"",'Original Data'!O62*GOOGLEFINANCE(""Currency:USDEUR""),
IF($D62=""Franco Suíço"",'Original Data'!O62*GOOGLEFINANCE(""Currency:CHFEUR""),
IF($D62=""Libra Esterlina"&amp;""", 'Original Data'!O62*GOOGLEFINANCE(""Currency:GBPEUR""),
IF($D62=""Iene"",'Original Data'!O62*GOOGLEFINANCE(""Currency:JPYEUR""),
IF($D62=""HKD"",'Original Data'!O62*GOOGLEFINANCE(""Currency:HKDEUR""),
IF($D62=""KRW"",'Original Data'!O62*GOOGLEFINANCE("&amp;"""Currency:KRWEUR""),""""))))))))"),21.48)</f>
        <v>21.48</v>
      </c>
      <c r="P62" s="8">
        <f>IFERROR(__xludf.DUMMYFUNCTION("IF('Original Data'!P62=""-"",""-"",
IF($D62=""Euro"",'Original Data'!P62,
IF($D62=""Dolar"",'Original Data'!P62*GOOGLEFINANCE(""Currency:USDEUR""),
IF($D62=""Franco Suíço"",'Original Data'!P62*GOOGLEFINANCE(""Currency:CHFEUR""),
IF($D62=""Libra Esterlina"&amp;""", 'Original Data'!P62*GOOGLEFINANCE(""Currency:GBPEUR""),
IF($D62=""Iene"",'Original Data'!P62*GOOGLEFINANCE(""Currency:JPYEUR""),
IF($D62=""HKD"",'Original Data'!P62*GOOGLEFINANCE(""Currency:HKDEUR""),
IF($D62=""KRW"",'Original Data'!P62*GOOGLEFINANCE("&amp;"""Currency:KRWEUR""),""""))))))))"),21.94)</f>
        <v>21.94</v>
      </c>
      <c r="Q62" s="8">
        <f>IFERROR(__xludf.DUMMYFUNCTION("IF('Original Data'!Q62=""-"",""-"",
IF($D62=""Euro"",'Original Data'!Q62,
IF($D62=""Dolar"",'Original Data'!Q62*GOOGLEFINANCE(""Currency:USDEUR""),
IF($D62=""Franco Suíço"",'Original Data'!Q62*GOOGLEFINANCE(""Currency:CHFEUR""),
IF($D62=""Libra Esterlina"&amp;""", 'Original Data'!Q62*GOOGLEFINANCE(""Currency:GBPEUR""),
IF($D62=""Iene"",'Original Data'!Q62*GOOGLEFINANCE(""Currency:JPYEUR""),
IF($D62=""HKD"",'Original Data'!Q62*GOOGLEFINANCE(""Currency:HKDEUR""),
IF($D62=""KRW"",'Original Data'!Q62*GOOGLEFINANCE("&amp;"""Currency:KRWEUR""),""""))))))))"),18.38)</f>
        <v>18.38</v>
      </c>
      <c r="R62" s="8">
        <f>IFERROR(__xludf.DUMMYFUNCTION("IF('Original Data'!R62=""-"",""-"",
IF($D62=""Euro"",'Original Data'!R62,
IF($D62=""Dolar"",'Original Data'!R62*GOOGLEFINANCE(""Currency:USDEUR""),
IF($D62=""Franco Suíço"",'Original Data'!R62*GOOGLEFINANCE(""Currency:CHFEUR""),
IF($D62=""Libra Esterlina"&amp;""", 'Original Data'!R62*GOOGLEFINANCE(""Currency:GBPEUR""),
IF($D62=""Iene"",'Original Data'!R62*GOOGLEFINANCE(""Currency:JPYEUR""),
IF($D62=""HKD"",'Original Data'!R62*GOOGLEFINANCE(""Currency:HKDEUR""),
IF($D62=""KRW"",'Original Data'!R62*GOOGLEFINANCE("&amp;"""Currency:KRWEUR""),""""))))))))"),19.72)</f>
        <v>19.72</v>
      </c>
      <c r="S62" s="8" t="str">
        <f>IFERROR(__xludf.DUMMYFUNCTION("IF('Original Data'!S62=""-"",""-"",
IF($D62=""Euro"",'Original Data'!S62,
IF($D62=""Dolar"",'Original Data'!S62*GOOGLEFINANCE(""Currency:USDEUR""),
IF($D62=""Franco Suíço"",'Original Data'!S62*GOOGLEFINANCE(""Currency:CHFEUR""),
IF($D62=""Libra Esterlina"&amp;""", 'Original Data'!S62*GOOGLEFINANCE(""Currency:GBPEUR""),
IF($D62=""Iene"",'Original Data'!S62*GOOGLEFINANCE(""Currency:JPYEUR""),
IF($D62=""HKD"",'Original Data'!S62*GOOGLEFINANCE(""Currency:HKDEUR""),
IF($D62=""KRW"",'Original Data'!S62*GOOGLEFINANCE("&amp;"""Currency:KRWEUR""),""""))))))))"),"-")</f>
        <v>-</v>
      </c>
      <c r="T62" s="8" t="str">
        <f>IFERROR(__xludf.DUMMYFUNCTION("IF('Original Data'!T62=""-"",""-"",
IF($D62=""Euro"",'Original Data'!T62,
IF($D62=""Dolar"",'Original Data'!T62*GOOGLEFINANCE(""Currency:USDEUR""),
IF($D62=""Franco Suíço"",'Original Data'!T62*GOOGLEFINANCE(""Currency:CHFEUR""),
IF($D62=""Libra Esterlina"&amp;""", 'Original Data'!T62*GOOGLEFINANCE(""Currency:GBPEUR""),
IF($D62=""Iene"",'Original Data'!T62*GOOGLEFINANCE(""Currency:JPYEUR""),
IF($D62=""HKD"",'Original Data'!T62*GOOGLEFINANCE(""Currency:HKDEUR""),
IF($D62=""KRW"",'Original Data'!T62*GOOGLEFINANCE("&amp;"""Currency:KRWEUR""),""""))))))))"),"-")</f>
        <v>-</v>
      </c>
      <c r="U62" s="8" t="str">
        <f>IFERROR(__xludf.DUMMYFUNCTION("IF('Original Data'!U62=""-"",""-"",
IF($D62=""Euro"",'Original Data'!U62,
IF($D62=""Dolar"",'Original Data'!U62*GOOGLEFINANCE(""Currency:USDEUR""),
IF($D62=""Franco Suíço"",'Original Data'!U62*GOOGLEFINANCE(""Currency:CHFEUR""),
IF($D62=""Libra Esterlina"&amp;""", 'Original Data'!U62*GOOGLEFINANCE(""Currency:GBPEUR""),
IF($D62=""Iene"",'Original Data'!U62*GOOGLEFINANCE(""Currency:JPYEUR""),
IF($D62=""HKD"",'Original Data'!U62*GOOGLEFINANCE(""Currency:HKDEUR""),
IF($D62=""KRW"",'Original Data'!U62*GOOGLEFINANCE("&amp;"""Currency:KRWEUR""),""""))))))))"),"-")</f>
        <v>-</v>
      </c>
      <c r="V62" s="8" t="str">
        <f>IFERROR(__xludf.DUMMYFUNCTION("IF('Original Data'!V62=""-"",""-"",
IF($D62=""Euro"",'Original Data'!V62,
IF($D62=""Dolar"",'Original Data'!V62*GOOGLEFINANCE(""Currency:USDEUR""),
IF($D62=""Franco Suíço"",'Original Data'!V62*GOOGLEFINANCE(""Currency:CHFEUR""),
IF($D62=""Libra Esterlina"&amp;""", 'Original Data'!V62*GOOGLEFINANCE(""Currency:GBPEUR""),
IF($D62=""Iene"",'Original Data'!V62*GOOGLEFINANCE(""Currency:JPYEUR""),
IF($D62=""HKD"",'Original Data'!V62*GOOGLEFINANCE(""Currency:HKDEUR""),
IF($D62=""KRW"",'Original Data'!V62*GOOGLEFINANCE("&amp;"""Currency:KRWEUR""),""""))))))))"),"-")</f>
        <v>-</v>
      </c>
      <c r="W62" s="7" t="s">
        <v>43</v>
      </c>
      <c r="X62" s="7" t="s">
        <v>43</v>
      </c>
      <c r="Y62" s="7" t="s">
        <v>41</v>
      </c>
      <c r="Z62" s="7" t="s">
        <v>41</v>
      </c>
      <c r="AA62" s="7" t="s">
        <v>41</v>
      </c>
      <c r="AB62" s="7" t="s">
        <v>41</v>
      </c>
      <c r="AC62" s="7">
        <v>21.0</v>
      </c>
      <c r="AD62" s="7">
        <v>2.0</v>
      </c>
      <c r="AE62" s="7">
        <v>8.3</v>
      </c>
      <c r="AF62" s="7">
        <v>10.9</v>
      </c>
      <c r="AG62" s="7">
        <v>2.0</v>
      </c>
    </row>
    <row r="63">
      <c r="A63" s="16" t="s">
        <v>228</v>
      </c>
      <c r="B63" s="16" t="s">
        <v>229</v>
      </c>
      <c r="C63" s="16" t="s">
        <v>230</v>
      </c>
      <c r="D63" s="7" t="s">
        <v>33</v>
      </c>
      <c r="E63" s="8">
        <f>IFERROR(__xludf.DUMMYFUNCTION("IF($D63=""Euro"",'Original Data'!E63,
IF($D63=""Dolar"",'Original Data'!E63*GOOGLEFINANCE(""Currency:USDEUR""),
IF($D63=""Franco Suíço"",'Original Data'!E63*GOOGLEFINANCE(""Currency:CHFEUR""),
IF($D63=""Libra Esterlina"", 'Original Data'!E63*GOOGLEFINANCE"&amp;"(""Currency:GBPEUR""),
IF($D63=""Iene"",'Original Data'!E63*GOOGLEFINANCE(""Currency:JPYEUR""),
IF($D63=""HKD"",'Original Data'!E63*GOOGLEFINANCE(""Currency:HKDEUR""),
IF($D63=""KRW"",'Original Data'!E63*GOOGLEFINANCE(""Currency:KRWEUR""),"""")))))))"),17.12)</f>
        <v>17.12</v>
      </c>
      <c r="F63" s="8">
        <f>IFERROR(__xludf.DUMMYFUNCTION("IF($D63=""Euro"",'Original Data'!F63,
IF($D63=""Dolar"",'Original Data'!F63*GOOGLEFINANCE(""Currency:USDEUR""),
IF($D63=""Franco Suíço"",'Original Data'!F63*GOOGLEFINANCE(""Currency:CHFEUR""),
IF($D63=""Libra Esterlina"", 'Original Data'!F63*GOOGLEFINANCE"&amp;"(""Currency:GBPEUR""),
IF($D63=""Iene"",'Original Data'!F63*GOOGLEFINANCE(""Currency:JPYEUR""),
IF($D63=""HKD"",'Original Data'!F63*GOOGLEFINANCE(""Currency:HKDEUR""),
IF($D63=""KRW"",'Original Data'!F63*GOOGLEFINANCE(""Currency:KRWEUR""),"""")))))))"),12.05)</f>
        <v>12.05</v>
      </c>
      <c r="G63" s="8">
        <f>IFERROR(__xludf.DUMMYFUNCTION("IF($D63=""Euro"",'Original Data'!G63,
IF($D63=""Dolar"",'Original Data'!G63*GOOGLEFINANCE(""Currency:USDEUR""),
IF($D63=""Franco Suíço"",'Original Data'!G63*GOOGLEFINANCE(""Currency:CHFEUR""),
IF($D63=""Libra Esterlina"", 'Original Data'!G63*GOOGLEFINANCE"&amp;"(""Currency:GBPEUR""),
IF($D63=""Iene"",'Original Data'!G63*GOOGLEFINANCE(""Currency:JPYEUR""),
IF($D63=""HKD"",'Original Data'!G63*GOOGLEFINANCE(""Currency:HKDEUR""),
IF($D63=""KRW"",'Original Data'!G63*GOOGLEFINANCE(""Currency:KRWEUR""),"""")))))))"),2.67)</f>
        <v>2.67</v>
      </c>
      <c r="H63" s="17">
        <v>1.236</v>
      </c>
      <c r="I63" s="7">
        <v>5.96</v>
      </c>
      <c r="J63" s="9">
        <v>0.0664</v>
      </c>
      <c r="K63" s="9">
        <v>0.0736</v>
      </c>
      <c r="L63" s="9">
        <v>0.0551</v>
      </c>
      <c r="M63" s="9">
        <v>0.3096</v>
      </c>
      <c r="N63" s="8">
        <f>IFERROR(__xludf.DUMMYFUNCTION("IF('Original Data'!N63=""-"",""-"",
IF($D63=""Euro"",'Original Data'!N63,
IF($D63=""Dolar"",'Original Data'!N63*GOOGLEFINANCE(""Currency:USDEUR""),
IF($D63=""Franco Suíço"",'Original Data'!N63*GOOGLEFINANCE(""Currency:CHFEUR""),
IF($D63=""Libra Esterlina"&amp;""", 'Original Data'!N63*GOOGLEFINANCE(""Currency:GBPEUR""),
IF($D63=""Iene"",'Original Data'!N63*GOOGLEFINANCE(""Currency:JPYEUR""),
IF($D63=""HKD"",'Original Data'!N63*GOOGLEFINANCE(""Currency:HKDEUR""),
IF($D63=""KRW"",'Original Data'!N63*GOOGLEFINANCE("&amp;"""Currency:KRWEUR""),""""))))))))"),1.98)</f>
        <v>1.98</v>
      </c>
      <c r="O63" s="8">
        <f>IFERROR(__xludf.DUMMYFUNCTION("IF('Original Data'!O63=""-"",""-"",
IF($D63=""Euro"",'Original Data'!O63,
IF($D63=""Dolar"",'Original Data'!O63*GOOGLEFINANCE(""Currency:USDEUR""),
IF($D63=""Franco Suíço"",'Original Data'!O63*GOOGLEFINANCE(""Currency:CHFEUR""),
IF($D63=""Libra Esterlina"&amp;""", 'Original Data'!O63*GOOGLEFINANCE(""Currency:GBPEUR""),
IF($D63=""Iene"",'Original Data'!O63*GOOGLEFINANCE(""Currency:JPYEUR""),
IF($D63=""HKD"",'Original Data'!O63*GOOGLEFINANCE(""Currency:HKDEUR""),
IF($D63=""KRW"",'Original Data'!O63*GOOGLEFINANCE("&amp;"""Currency:KRWEUR""),""""))))))))"),4.01)</f>
        <v>4.01</v>
      </c>
      <c r="P63" s="8">
        <f>IFERROR(__xludf.DUMMYFUNCTION("IF('Original Data'!P63=""-"",""-"",
IF($D63=""Euro"",'Original Data'!P63,
IF($D63=""Dolar"",'Original Data'!P63*GOOGLEFINANCE(""Currency:USDEUR""),
IF($D63=""Franco Suíço"",'Original Data'!P63*GOOGLEFINANCE(""Currency:CHFEUR""),
IF($D63=""Libra Esterlina"&amp;""", 'Original Data'!P63*GOOGLEFINANCE(""Currency:GBPEUR""),
IF($D63=""Iene"",'Original Data'!P63*GOOGLEFINANCE(""Currency:JPYEUR""),
IF($D63=""HKD"",'Original Data'!P63*GOOGLEFINANCE(""Currency:HKDEUR""),
IF($D63=""KRW"",'Original Data'!P63*GOOGLEFINANCE("&amp;"""Currency:KRWEUR""),""""))))))))"),4.14)</f>
        <v>4.14</v>
      </c>
      <c r="Q63" s="8">
        <f>IFERROR(__xludf.DUMMYFUNCTION("IF('Original Data'!Q63=""-"",""-"",
IF($D63=""Euro"",'Original Data'!Q63,
IF($D63=""Dolar"",'Original Data'!Q63*GOOGLEFINANCE(""Currency:USDEUR""),
IF($D63=""Franco Suíço"",'Original Data'!Q63*GOOGLEFINANCE(""Currency:CHFEUR""),
IF($D63=""Libra Esterlina"&amp;""", 'Original Data'!Q63*GOOGLEFINANCE(""Currency:GBPEUR""),
IF($D63=""Iene"",'Original Data'!Q63*GOOGLEFINANCE(""Currency:JPYEUR""),
IF($D63=""HKD"",'Original Data'!Q63*GOOGLEFINANCE(""Currency:HKDEUR""),
IF($D63=""KRW"",'Original Data'!Q63*GOOGLEFINANCE("&amp;"""Currency:KRWEUR""),""""))))))))"),4.05)</f>
        <v>4.05</v>
      </c>
      <c r="R63" s="8">
        <f>IFERROR(__xludf.DUMMYFUNCTION("IF('Original Data'!R63=""-"",""-"",
IF($D63=""Euro"",'Original Data'!R63,
IF($D63=""Dolar"",'Original Data'!R63*GOOGLEFINANCE(""Currency:USDEUR""),
IF($D63=""Franco Suíço"",'Original Data'!R63*GOOGLEFINANCE(""Currency:CHFEUR""),
IF($D63=""Libra Esterlina"&amp;""", 'Original Data'!R63*GOOGLEFINANCE(""Currency:GBPEUR""),
IF($D63=""Iene"",'Original Data'!R63*GOOGLEFINANCE(""Currency:JPYEUR""),
IF($D63=""HKD"",'Original Data'!R63*GOOGLEFINANCE(""Currency:HKDEUR""),
IF($D63=""KRW"",'Original Data'!R63*GOOGLEFINANCE("&amp;"""Currency:KRWEUR""),""""))))))))"),4.49)</f>
        <v>4.49</v>
      </c>
      <c r="S63" s="8">
        <f>IFERROR(__xludf.DUMMYFUNCTION("IF('Original Data'!S63=""-"",""-"",
IF($D63=""Euro"",'Original Data'!S63,
IF($D63=""Dolar"",'Original Data'!S63*GOOGLEFINANCE(""Currency:USDEUR""),
IF($D63=""Franco Suíço"",'Original Data'!S63*GOOGLEFINANCE(""Currency:CHFEUR""),
IF($D63=""Libra Esterlina"&amp;""", 'Original Data'!S63*GOOGLEFINANCE(""Currency:GBPEUR""),
IF($D63=""Iene"",'Original Data'!S63*GOOGLEFINANCE(""Currency:JPYEUR""),
IF($D63=""HKD"",'Original Data'!S63*GOOGLEFINANCE(""Currency:HKDEUR""),
IF($D63=""KRW"",'Original Data'!S63*GOOGLEFINANCE("&amp;"""Currency:KRWEUR""),""""))))))))"),0.523)</f>
        <v>0.523</v>
      </c>
      <c r="T63" s="8">
        <f>IFERROR(__xludf.DUMMYFUNCTION("IF('Original Data'!T63=""-"",""-"",
IF($D63=""Euro"",'Original Data'!T63,
IF($D63=""Dolar"",'Original Data'!T63*GOOGLEFINANCE(""Currency:USDEUR""),
IF($D63=""Franco Suíço"",'Original Data'!T63*GOOGLEFINANCE(""Currency:CHFEUR""),
IF($D63=""Libra Esterlina"&amp;""", 'Original Data'!T63*GOOGLEFINANCE(""Currency:GBPEUR""),
IF($D63=""Iene"",'Original Data'!T63*GOOGLEFINANCE(""Currency:JPYEUR""),
IF($D63=""HKD"",'Original Data'!T63*GOOGLEFINANCE(""Currency:HKDEUR""),
IF($D63=""KRW"",'Original Data'!T63*GOOGLEFINANCE("&amp;"""Currency:KRWEUR""),""""))))))))"),0.805)</f>
        <v>0.805</v>
      </c>
      <c r="U63" s="8">
        <f>IFERROR(__xludf.DUMMYFUNCTION("IF('Original Data'!U63=""-"",""-"",
IF($D63=""Euro"",'Original Data'!U63,
IF($D63=""Dolar"",'Original Data'!U63*GOOGLEFINANCE(""Currency:USDEUR""),
IF($D63=""Franco Suíço"",'Original Data'!U63*GOOGLEFINANCE(""Currency:CHFEUR""),
IF($D63=""Libra Esterlina"&amp;""", 'Original Data'!U63*GOOGLEFINANCE(""Currency:GBPEUR""),
IF($D63=""Iene"",'Original Data'!U63*GOOGLEFINANCE(""Currency:JPYEUR""),
IF($D63=""HKD"",'Original Data'!U63*GOOGLEFINANCE(""Currency:HKDEUR""),
IF($D63=""KRW"",'Original Data'!U63*GOOGLEFINANCE("&amp;"""Currency:KRWEUR""),""""))))))))"),0.675)</f>
        <v>0.675</v>
      </c>
      <c r="V63" s="8">
        <f>IFERROR(__xludf.DUMMYFUNCTION("IF('Original Data'!V63=""-"",""-"",
IF($D63=""Euro"",'Original Data'!V63,
IF($D63=""Dolar"",'Original Data'!V63*GOOGLEFINANCE(""Currency:USDEUR""),
IF($D63=""Franco Suíço"",'Original Data'!V63*GOOGLEFINANCE(""Currency:CHFEUR""),
IF($D63=""Libra Esterlina"&amp;""", 'Original Data'!V63*GOOGLEFINANCE(""Currency:GBPEUR""),
IF($D63=""Iene"",'Original Data'!V63*GOOGLEFINANCE(""Currency:JPYEUR""),
IF($D63=""HKD"",'Original Data'!V63*GOOGLEFINANCE(""Currency:HKDEUR""),
IF($D63=""KRW"",'Original Data'!V63*GOOGLEFINANCE("&amp;"""Currency:KRWEUR""),""""))))))))"),0.83)</f>
        <v>0.83</v>
      </c>
      <c r="W63" s="7" t="s">
        <v>55</v>
      </c>
      <c r="X63" s="7" t="s">
        <v>55</v>
      </c>
      <c r="Y63" s="7" t="s">
        <v>41</v>
      </c>
      <c r="Z63" s="7" t="s">
        <v>41</v>
      </c>
      <c r="AA63" s="7" t="s">
        <v>41</v>
      </c>
      <c r="AB63" s="7" t="s">
        <v>41</v>
      </c>
      <c r="AC63" s="7">
        <v>12.0</v>
      </c>
      <c r="AD63" s="7">
        <v>0.1</v>
      </c>
      <c r="AE63" s="7">
        <v>5.3</v>
      </c>
      <c r="AF63" s="7">
        <v>6.1</v>
      </c>
      <c r="AG63" s="7">
        <v>2.0</v>
      </c>
    </row>
    <row r="64">
      <c r="A64" s="16" t="s">
        <v>231</v>
      </c>
      <c r="B64" s="16" t="s">
        <v>232</v>
      </c>
      <c r="C64" s="16" t="s">
        <v>233</v>
      </c>
      <c r="D64" s="7" t="s">
        <v>33</v>
      </c>
      <c r="E64" s="8">
        <f>IFERROR(__xludf.DUMMYFUNCTION("IF($D64=""Euro"",'Original Data'!E64,
IF($D64=""Dolar"",'Original Data'!E64*GOOGLEFINANCE(""Currency:USDEUR""),
IF($D64=""Franco Suíço"",'Original Data'!E64*GOOGLEFINANCE(""Currency:CHFEUR""),
IF($D64=""Libra Esterlina"", 'Original Data'!E64*GOOGLEFINANCE"&amp;"(""Currency:GBPEUR""),
IF($D64=""Iene"",'Original Data'!E64*GOOGLEFINANCE(""Currency:JPYEUR""),
IF($D64=""HKD"",'Original Data'!E64*GOOGLEFINANCE(""Currency:HKDEUR""),
IF($D64=""KRW"",'Original Data'!E64*GOOGLEFINANCE(""Currency:KRWEUR""),"""")))))))"),0.09)</f>
        <v>0.09</v>
      </c>
      <c r="F64" s="8">
        <f>IFERROR(__xludf.DUMMYFUNCTION("IF($D64=""Euro"",'Original Data'!F64,
IF($D64=""Dolar"",'Original Data'!F64*GOOGLEFINANCE(""Currency:USDEUR""),
IF($D64=""Franco Suíço"",'Original Data'!F64*GOOGLEFINANCE(""Currency:CHFEUR""),
IF($D64=""Libra Esterlina"", 'Original Data'!F64*GOOGLEFINANCE"&amp;"(""Currency:GBPEUR""),
IF($D64=""Iene"",'Original Data'!F64*GOOGLEFINANCE(""Currency:JPYEUR""),
IF($D64=""HKD"",'Original Data'!F64*GOOGLEFINANCE(""Currency:HKDEUR""),
IF($D64=""KRW"",'Original Data'!F64*GOOGLEFINANCE(""Currency:KRWEUR""),"""")))))))"),8.05)</f>
        <v>8.05</v>
      </c>
      <c r="G64" s="8">
        <f>IFERROR(__xludf.DUMMYFUNCTION("IF($D64=""Euro"",'Original Data'!G64,
IF($D64=""Dolar"",'Original Data'!G64*GOOGLEFINANCE(""Currency:USDEUR""),
IF($D64=""Franco Suíço"",'Original Data'!G64*GOOGLEFINANCE(""Currency:CHFEUR""),
IF($D64=""Libra Esterlina"", 'Original Data'!G64*GOOGLEFINANCE"&amp;"(""Currency:GBPEUR""),
IF($D64=""Iene"",'Original Data'!G64*GOOGLEFINANCE(""Currency:JPYEUR""),
IF($D64=""HKD"",'Original Data'!G64*GOOGLEFINANCE(""Currency:HKDEUR""),
IF($D64=""KRW"",'Original Data'!G64*GOOGLEFINANCE(""Currency:KRWEUR""),"""")))))))"),0.856)</f>
        <v>0.856</v>
      </c>
      <c r="H64" s="17">
        <v>1.231</v>
      </c>
      <c r="I64" s="7">
        <v>22.41</v>
      </c>
      <c r="J64" s="7" t="s">
        <v>51</v>
      </c>
      <c r="K64" s="9">
        <v>0.1428</v>
      </c>
      <c r="L64" s="9">
        <v>0.0594</v>
      </c>
      <c r="M64" s="9">
        <v>0.3241</v>
      </c>
      <c r="N64" s="8">
        <f>IFERROR(__xludf.DUMMYFUNCTION("IF('Original Data'!N64=""-"",""-"",
IF($D64=""Euro"",'Original Data'!N64,
IF($D64=""Dolar"",'Original Data'!N64*GOOGLEFINANCE(""Currency:USDEUR""),
IF($D64=""Franco Suíço"",'Original Data'!N64*GOOGLEFINANCE(""Currency:CHFEUR""),
IF($D64=""Libra Esterlina"&amp;""", 'Original Data'!N64*GOOGLEFINANCE(""Currency:GBPEUR""),
IF($D64=""Iene"",'Original Data'!N64*GOOGLEFINANCE(""Currency:JPYEUR""),
IF($D64=""HKD"",'Original Data'!N64*GOOGLEFINANCE(""Currency:HKDEUR""),
IF($D64=""KRW"",'Original Data'!N64*GOOGLEFINANCE("&amp;"""Currency:KRWEUR""),""""))))))))"),0.32)</f>
        <v>0.32</v>
      </c>
      <c r="O64" s="8">
        <f>IFERROR(__xludf.DUMMYFUNCTION("IF('Original Data'!O64=""-"",""-"",
IF($D64=""Euro"",'Original Data'!O64,
IF($D64=""Dolar"",'Original Data'!O64*GOOGLEFINANCE(""Currency:USDEUR""),
IF($D64=""Franco Suíço"",'Original Data'!O64*GOOGLEFINANCE(""Currency:CHFEUR""),
IF($D64=""Libra Esterlina"&amp;""", 'Original Data'!O64*GOOGLEFINANCE(""Currency:GBPEUR""),
IF($D64=""Iene"",'Original Data'!O64*GOOGLEFINANCE(""Currency:JPYEUR""),
IF($D64=""HKD"",'Original Data'!O64*GOOGLEFINANCE(""Currency:HKDEUR""),
IF($D64=""KRW"",'Original Data'!O64*GOOGLEFINANCE("&amp;"""Currency:KRWEUR""),""""))))))))"),0.45182)</f>
        <v>0.45182</v>
      </c>
      <c r="P64" s="8">
        <f>IFERROR(__xludf.DUMMYFUNCTION("IF('Original Data'!P64=""-"",""-"",
IF($D64=""Euro"",'Original Data'!P64,
IF($D64=""Dolar"",'Original Data'!P64*GOOGLEFINANCE(""Currency:USDEUR""),
IF($D64=""Franco Suíço"",'Original Data'!P64*GOOGLEFINANCE(""Currency:CHFEUR""),
IF($D64=""Libra Esterlina"&amp;""", 'Original Data'!P64*GOOGLEFINANCE(""Currency:GBPEUR""),
IF($D64=""Iene"",'Original Data'!P64*GOOGLEFINANCE(""Currency:JPYEUR""),
IF($D64=""HKD"",'Original Data'!P64*GOOGLEFINANCE(""Currency:HKDEUR""),
IF($D64=""KRW"",'Original Data'!P64*GOOGLEFINANCE("&amp;"""Currency:KRWEUR""),""""))))))))"),0.69141)</f>
        <v>0.69141</v>
      </c>
      <c r="Q64" s="8">
        <f>IFERROR(__xludf.DUMMYFUNCTION("IF('Original Data'!Q64=""-"",""-"",
IF($D64=""Euro"",'Original Data'!Q64,
IF($D64=""Dolar"",'Original Data'!Q64*GOOGLEFINANCE(""Currency:USDEUR""),
IF($D64=""Franco Suíço"",'Original Data'!Q64*GOOGLEFINANCE(""Currency:CHFEUR""),
IF($D64=""Libra Esterlina"&amp;""", 'Original Data'!Q64*GOOGLEFINANCE(""Currency:GBPEUR""),
IF($D64=""Iene"",'Original Data'!Q64*GOOGLEFINANCE(""Currency:JPYEUR""),
IF($D64=""HKD"",'Original Data'!Q64*GOOGLEFINANCE(""Currency:HKDEUR""),
IF($D64=""KRW"",'Original Data'!Q64*GOOGLEFINANCE("&amp;"""Currency:KRWEUR""),""""))))))))"),0.81928)</f>
        <v>0.81928</v>
      </c>
      <c r="R64" s="8">
        <f>IFERROR(__xludf.DUMMYFUNCTION("IF('Original Data'!R64=""-"",""-"",
IF($D64=""Euro"",'Original Data'!R64,
IF($D64=""Dolar"",'Original Data'!R64*GOOGLEFINANCE(""Currency:USDEUR""),
IF($D64=""Franco Suíço"",'Original Data'!R64*GOOGLEFINANCE(""Currency:CHFEUR""),
IF($D64=""Libra Esterlina"&amp;""", 'Original Data'!R64*GOOGLEFINANCE(""Currency:GBPEUR""),
IF($D64=""Iene"",'Original Data'!R64*GOOGLEFINANCE(""Currency:JPYEUR""),
IF($D64=""HKD"",'Original Data'!R64*GOOGLEFINANCE(""Currency:HKDEUR""),
IF($D64=""KRW"",'Original Data'!R64*GOOGLEFINANCE("&amp;"""Currency:KRWEUR""),""""))))))))"),0.8738)</f>
        <v>0.8738</v>
      </c>
      <c r="S64" s="8">
        <f>IFERROR(__xludf.DUMMYFUNCTION("IF('Original Data'!S64=""-"",""-"",
IF($D64=""Euro"",'Original Data'!S64,
IF($D64=""Dolar"",'Original Data'!S64*GOOGLEFINANCE(""Currency:USDEUR""),
IF($D64=""Franco Suíço"",'Original Data'!S64*GOOGLEFINANCE(""Currency:CHFEUR""),
IF($D64=""Libra Esterlina"&amp;""", 'Original Data'!S64*GOOGLEFINANCE(""Currency:GBPEUR""),
IF($D64=""Iene"",'Original Data'!S64*GOOGLEFINANCE(""Currency:JPYEUR""),
IF($D64=""HKD"",'Original Data'!S64*GOOGLEFINANCE(""Currency:HKDEUR""),
IF($D64=""KRW"",'Original Data'!S64*GOOGLEFINANCE("&amp;"""Currency:KRWEUR""),""""))))))))"),0.02516)</f>
        <v>0.02516</v>
      </c>
      <c r="T64" s="8">
        <f>IFERROR(__xludf.DUMMYFUNCTION("IF('Original Data'!T64=""-"",""-"",
IF($D64=""Euro"",'Original Data'!T64,
IF($D64=""Dolar"",'Original Data'!T64*GOOGLEFINANCE(""Currency:USDEUR""),
IF($D64=""Franco Suíço"",'Original Data'!T64*GOOGLEFINANCE(""Currency:CHFEUR""),
IF($D64=""Libra Esterlina"&amp;""", 'Original Data'!T64*GOOGLEFINANCE(""Currency:GBPEUR""),
IF($D64=""Iene"",'Original Data'!T64*GOOGLEFINANCE(""Currency:JPYEUR""),
IF($D64=""HKD"",'Original Data'!T64*GOOGLEFINANCE(""Currency:HKDEUR""),
IF($D64=""KRW"",'Original Data'!T64*GOOGLEFINANCE("&amp;"""Currency:KRWEUR""),""""))))))))"),0.06757)</f>
        <v>0.06757</v>
      </c>
      <c r="U64" s="8">
        <f>IFERROR(__xludf.DUMMYFUNCTION("IF('Original Data'!U64=""-"",""-"",
IF($D64=""Euro"",'Original Data'!U64,
IF($D64=""Dolar"",'Original Data'!U64*GOOGLEFINANCE(""Currency:USDEUR""),
IF($D64=""Franco Suíço"",'Original Data'!U64*GOOGLEFINANCE(""Currency:CHFEUR""),
IF($D64=""Libra Esterlina"&amp;""", 'Original Data'!U64*GOOGLEFINANCE(""Currency:GBPEUR""),
IF($D64=""Iene"",'Original Data'!U64*GOOGLEFINANCE(""Currency:JPYEUR""),
IF($D64=""HKD"",'Original Data'!U64*GOOGLEFINANCE(""Currency:HKDEUR""),
IF($D64=""KRW"",'Original Data'!U64*GOOGLEFINANCE("&amp;"""Currency:KRWEUR""),""""))))))))"),0.09023)</f>
        <v>0.09023</v>
      </c>
      <c r="V64" s="8" t="str">
        <f>IFERROR(__xludf.DUMMYFUNCTION("IF('Original Data'!V64=""-"",""-"",
IF($D64=""Euro"",'Original Data'!V64,
IF($D64=""Dolar"",'Original Data'!V64*GOOGLEFINANCE(""Currency:USDEUR""),
IF($D64=""Franco Suíço"",'Original Data'!V64*GOOGLEFINANCE(""Currency:CHFEUR""),
IF($D64=""Libra Esterlina"&amp;""", 'Original Data'!V64*GOOGLEFINANCE(""Currency:GBPEUR""),
IF($D64=""Iene"",'Original Data'!V64*GOOGLEFINANCE(""Currency:JPYEUR""),
IF($D64=""HKD"",'Original Data'!V64*GOOGLEFINANCE(""Currency:HKDEUR""),
IF($D64=""KRW"",'Original Data'!V64*GOOGLEFINANCE("&amp;"""Currency:KRWEUR""),""""))))))))"),"-")</f>
        <v>-</v>
      </c>
      <c r="W64" s="7" t="s">
        <v>41</v>
      </c>
      <c r="X64" s="7" t="s">
        <v>41</v>
      </c>
      <c r="Y64" s="7" t="s">
        <v>41</v>
      </c>
      <c r="Z64" s="7" t="s">
        <v>41</v>
      </c>
      <c r="AA64" s="7" t="s">
        <v>41</v>
      </c>
      <c r="AB64" s="7" t="s">
        <v>41</v>
      </c>
      <c r="AC64" s="7" t="s">
        <v>41</v>
      </c>
      <c r="AD64" s="7" t="s">
        <v>41</v>
      </c>
      <c r="AE64" s="7" t="s">
        <v>41</v>
      </c>
      <c r="AF64" s="7" t="s">
        <v>41</v>
      </c>
      <c r="AG64" s="7" t="s">
        <v>41</v>
      </c>
    </row>
    <row r="65">
      <c r="A65" s="16" t="s">
        <v>234</v>
      </c>
      <c r="B65" s="16" t="s">
        <v>235</v>
      </c>
      <c r="C65" s="16" t="s">
        <v>236</v>
      </c>
      <c r="D65" s="7" t="s">
        <v>40</v>
      </c>
      <c r="E65" s="8">
        <f>IFERROR(__xludf.DUMMYFUNCTION("IF($D65=""Euro"",'Original Data'!E65,
IF($D65=""Dolar"",'Original Data'!E65*GOOGLEFINANCE(""Currency:USDEUR""),
IF($D65=""Franco Suíço"",'Original Data'!E65*GOOGLEFINANCE(""Currency:CHFEUR""),
IF($D65=""Libra Esterlina"", 'Original Data'!E65*GOOGLEFINANCE"&amp;"(""Currency:GBPEUR""),
IF($D65=""Iene"",'Original Data'!E65*GOOGLEFINANCE(""Currency:JPYEUR""),
IF($D65=""HKD"",'Original Data'!E65*GOOGLEFINANCE(""Currency:HKDEUR""),
IF($D65=""KRW"",'Original Data'!E65*GOOGLEFINANCE(""Currency:KRWEUR""),"""")))))))"),895.33575)</f>
        <v>895.33575</v>
      </c>
      <c r="F65" s="8">
        <f>IFERROR(__xludf.DUMMYFUNCTION("IF($D65=""Euro"",'Original Data'!F65,
IF($D65=""Dolar"",'Original Data'!F65*GOOGLEFINANCE(""Currency:USDEUR""),
IF($D65=""Franco Suíço"",'Original Data'!F65*GOOGLEFINANCE(""Currency:CHFEUR""),
IF($D65=""Libra Esterlina"", 'Original Data'!F65*GOOGLEFINANCE"&amp;"(""Currency:GBPEUR""),
IF($D65=""Iene"",'Original Data'!F65*GOOGLEFINANCE(""Currency:JPYEUR""),
IF($D65=""HKD"",'Original Data'!F65*GOOGLEFINANCE(""Currency:HKDEUR""),
IF($D65=""KRW"",'Original Data'!F65*GOOGLEFINANCE(""Currency:KRWEUR""),"""")))))))"),2023.60124)</f>
        <v>2023.60124</v>
      </c>
      <c r="G65" s="8">
        <f>IFERROR(__xludf.DUMMYFUNCTION("IF($D65=""Euro"",'Original Data'!G65,
IF($D65=""Dolar"",'Original Data'!G65*GOOGLEFINANCE(""Currency:USDEUR""),
IF($D65=""Franco Suíço"",'Original Data'!G65*GOOGLEFINANCE(""Currency:CHFEUR""),
IF($D65=""Libra Esterlina"", 'Original Data'!G65*GOOGLEFINANCE"&amp;"(""Currency:GBPEUR""),
IF($D65=""Iene"",'Original Data'!G65*GOOGLEFINANCE(""Currency:JPYEUR""),
IF($D65=""HKD"",'Original Data'!G65*GOOGLEFINANCE(""Currency:HKDEUR""),
IF($D65=""KRW"",'Original Data'!G65*GOOGLEFINANCE(""Currency:KRWEUR""),"""")))))))"),81.351718)</f>
        <v>81.351718</v>
      </c>
      <c r="H65" s="17">
        <v>0.46536</v>
      </c>
      <c r="I65" s="7">
        <v>78.65</v>
      </c>
      <c r="J65" s="7" t="s">
        <v>51</v>
      </c>
      <c r="K65" s="9">
        <v>0.1481</v>
      </c>
      <c r="L65" s="9">
        <v>0.1214</v>
      </c>
      <c r="M65" s="9">
        <v>0.3535</v>
      </c>
      <c r="N65" s="8">
        <f>IFERROR(__xludf.DUMMYFUNCTION("IF('Original Data'!N65=""-"",""-"",
IF($D65=""Euro"",'Original Data'!N65,
IF($D65=""Dolar"",'Original Data'!N65*GOOGLEFINANCE(""Currency:USDEUR""),
IF($D65=""Franco Suíço"",'Original Data'!N65*GOOGLEFINANCE(""Currency:CHFEUR""),
IF($D65=""Libra Esterlina"&amp;""", 'Original Data'!N65*GOOGLEFINANCE(""Currency:GBPEUR""),
IF($D65=""Iene"",'Original Data'!N65*GOOGLEFINANCE(""Currency:JPYEUR""),
IF($D65=""HKD"",'Original Data'!N65*GOOGLEFINANCE(""Currency:HKDEUR""),
IF($D65=""KRW"",'Original Data'!N65*GOOGLEFINANCE("&amp;"""Currency:KRWEUR""),""""))))))))"),26.09041)</f>
        <v>26.09041</v>
      </c>
      <c r="O65" s="8">
        <f>IFERROR(__xludf.DUMMYFUNCTION("IF('Original Data'!O65=""-"",""-"",
IF($D65=""Euro"",'Original Data'!O65,
IF($D65=""Dolar"",'Original Data'!O65*GOOGLEFINANCE(""Currency:USDEUR""),
IF($D65=""Franco Suíço"",'Original Data'!O65*GOOGLEFINANCE(""Currency:CHFEUR""),
IF($D65=""Libra Esterlina"&amp;""", 'Original Data'!O65*GOOGLEFINANCE(""Currency:GBPEUR""),
IF($D65=""Iene"",'Original Data'!O65*GOOGLEFINANCE(""Currency:JPYEUR""),
IF($D65=""HKD"",'Original Data'!O65*GOOGLEFINANCE(""Currency:HKDEUR""),
IF($D65=""KRW"",'Original Data'!O65*GOOGLEFINANCE("&amp;"""Currency:KRWEUR""),""""))))))))"),13.353069999999999)</f>
        <v>13.35307</v>
      </c>
      <c r="P65" s="8">
        <f>IFERROR(__xludf.DUMMYFUNCTION("IF('Original Data'!P65=""-"",""-"",
IF($D65=""Euro"",'Original Data'!P65,
IF($D65=""Dolar"",'Original Data'!P65*GOOGLEFINANCE(""Currency:USDEUR""),
IF($D65=""Franco Suíço"",'Original Data'!P65*GOOGLEFINANCE(""Currency:CHFEUR""),
IF($D65=""Libra Esterlina"&amp;""", 'Original Data'!P65*GOOGLEFINANCE(""Currency:GBPEUR""),
IF($D65=""Iene"",'Original Data'!P65*GOOGLEFINANCE(""Currency:JPYEUR""),
IF($D65=""HKD"",'Original Data'!P65*GOOGLEFINANCE(""Currency:HKDEUR""),
IF($D65=""KRW"",'Original Data'!P65*GOOGLEFINANCE("&amp;"""Currency:KRWEUR""),""""))))))))"),13.849329999999998)</f>
        <v>13.84933</v>
      </c>
      <c r="Q65" s="8">
        <f>IFERROR(__xludf.DUMMYFUNCTION("IF('Original Data'!Q65=""-"",""-"",
IF($D65=""Euro"",'Original Data'!Q65,
IF($D65=""Dolar"",'Original Data'!Q65*GOOGLEFINANCE(""Currency:USDEUR""),
IF($D65=""Franco Suíço"",'Original Data'!Q65*GOOGLEFINANCE(""Currency:CHFEUR""),
IF($D65=""Libra Esterlina"&amp;""", 'Original Data'!Q65*GOOGLEFINANCE(""Currency:GBPEUR""),
IF($D65=""Iene"",'Original Data'!Q65*GOOGLEFINANCE(""Currency:JPYEUR""),
IF($D65=""HKD"",'Original Data'!Q65*GOOGLEFINANCE(""Currency:HKDEUR""),
IF($D65=""KRW"",'Original Data'!Q65*GOOGLEFINANCE("&amp;"""Currency:KRWEUR""),""""))))))))"),6.249199999999999)</f>
        <v>6.2492</v>
      </c>
      <c r="R65" s="8">
        <f>IFERROR(__xludf.DUMMYFUNCTION("IF('Original Data'!R65=""-"",""-"",
IF($D65=""Euro"",'Original Data'!R65,
IF($D65=""Dolar"",'Original Data'!R65*GOOGLEFINANCE(""Currency:USDEUR""),
IF($D65=""Franco Suíço"",'Original Data'!R65*GOOGLEFINANCE(""Currency:CHFEUR""),
IF($D65=""Libra Esterlina"&amp;""", 'Original Data'!R65*GOOGLEFINANCE(""Currency:GBPEUR""),
IF($D65=""Iene"",'Original Data'!R65*GOOGLEFINANCE(""Currency:JPYEUR""),
IF($D65=""HKD"",'Original Data'!R65*GOOGLEFINANCE(""Currency:HKDEUR""),
IF($D65=""KRW"",'Original Data'!R65*GOOGLEFINANCE("&amp;"""Currency:KRWEUR""),""""))))))))"),10.07224)</f>
        <v>10.07224</v>
      </c>
      <c r="S65" s="8">
        <f>IFERROR(__xludf.DUMMYFUNCTION("IF('Original Data'!S65=""-"",""-"",
IF($D65=""Euro"",'Original Data'!S65,
IF($D65=""Dolar"",'Original Data'!S65*GOOGLEFINANCE(""Currency:USDEUR""),
IF($D65=""Franco Suíço"",'Original Data'!S65*GOOGLEFINANCE(""Currency:CHFEUR""),
IF($D65=""Libra Esterlina"&amp;""", 'Original Data'!S65*GOOGLEFINANCE(""Currency:GBPEUR""),
IF($D65=""Iene"",'Original Data'!S65*GOOGLEFINANCE(""Currency:JPYEUR""),
IF($D65=""HKD"",'Original Data'!S65*GOOGLEFINANCE(""Currency:HKDEUR""),
IF($D65=""KRW"",'Original Data'!S65*GOOGLEFINANCE("&amp;"""Currency:KRWEUR""),""""))))))))"),5.302629999999999)</f>
        <v>5.30263</v>
      </c>
      <c r="T65" s="8">
        <f>IFERROR(__xludf.DUMMYFUNCTION("IF('Original Data'!T65=""-"",""-"",
IF($D65=""Euro"",'Original Data'!T65,
IF($D65=""Dolar"",'Original Data'!T65*GOOGLEFINANCE(""Currency:USDEUR""),
IF($D65=""Franco Suíço"",'Original Data'!T65*GOOGLEFINANCE(""Currency:CHFEUR""),
IF($D65=""Libra Esterlina"&amp;""", 'Original Data'!T65*GOOGLEFINANCE(""Currency:GBPEUR""),
IF($D65=""Iene"",'Original Data'!T65*GOOGLEFINANCE(""Currency:JPYEUR""),
IF($D65=""HKD"",'Original Data'!T65*GOOGLEFINANCE(""Currency:HKDEUR""),
IF($D65=""KRW"",'Original Data'!T65*GOOGLEFINANCE("&amp;"""Currency:KRWEUR""),""""))))))))"),5.50481)</f>
        <v>5.50481</v>
      </c>
      <c r="U65" s="8">
        <f>IFERROR(__xludf.DUMMYFUNCTION("IF('Original Data'!U65=""-"",""-"",
IF($D65=""Euro"",'Original Data'!U65,
IF($D65=""Dolar"",'Original Data'!U65*GOOGLEFINANCE(""Currency:USDEUR""),
IF($D65=""Franco Suíço"",'Original Data'!U65*GOOGLEFINANCE(""Currency:CHFEUR""),
IF($D65=""Libra Esterlina"&amp;""", 'Original Data'!U65*GOOGLEFINANCE(""Currency:GBPEUR""),
IF($D65=""Iene"",'Original Data'!U65*GOOGLEFINANCE(""Currency:JPYEUR""),
IF($D65=""HKD"",'Original Data'!U65*GOOGLEFINANCE(""Currency:HKDEUR""),
IF($D65=""KRW"",'Original Data'!U65*GOOGLEFINANCE("&amp;"""Currency:KRWEUR""),""""))))))))"),1.0109)</f>
        <v>1.0109</v>
      </c>
      <c r="V65" s="8">
        <f>IFERROR(__xludf.DUMMYFUNCTION("IF('Original Data'!V65=""-"",""-"",
IF($D65=""Euro"",'Original Data'!V65,
IF($D65=""Dolar"",'Original Data'!V65*GOOGLEFINANCE(""Currency:USDEUR""),
IF($D65=""Franco Suíço"",'Original Data'!V65*GOOGLEFINANCE(""Currency:CHFEUR""),
IF($D65=""Libra Esterlina"&amp;""", 'Original Data'!V65*GOOGLEFINANCE(""Currency:GBPEUR""),
IF($D65=""Iene"",'Original Data'!V65*GOOGLEFINANCE(""Currency:JPYEUR""),
IF($D65=""HKD"",'Original Data'!V65*GOOGLEFINANCE(""Currency:HKDEUR""),
IF($D65=""KRW"",'Original Data'!V65*GOOGLEFINANCE("&amp;"""Currency:KRWEUR""),""""))))))))"),2.97756)</f>
        <v>2.97756</v>
      </c>
      <c r="W65" s="7" t="s">
        <v>41</v>
      </c>
      <c r="X65" s="7" t="s">
        <v>41</v>
      </c>
      <c r="Y65" s="7" t="s">
        <v>41</v>
      </c>
      <c r="Z65" s="7" t="s">
        <v>41</v>
      </c>
      <c r="AA65" s="7" t="s">
        <v>41</v>
      </c>
      <c r="AB65" s="7" t="s">
        <v>41</v>
      </c>
      <c r="AC65" s="7">
        <v>22.0</v>
      </c>
      <c r="AD65" s="7">
        <v>2.0</v>
      </c>
      <c r="AE65" s="7">
        <v>12.4</v>
      </c>
      <c r="AF65" s="7">
        <v>7.2</v>
      </c>
      <c r="AG65" s="7">
        <v>2.0</v>
      </c>
    </row>
    <row r="66">
      <c r="A66" s="16" t="s">
        <v>237</v>
      </c>
      <c r="B66" s="16" t="s">
        <v>238</v>
      </c>
      <c r="C66" s="16" t="s">
        <v>239</v>
      </c>
      <c r="D66" s="7" t="s">
        <v>33</v>
      </c>
      <c r="E66" s="8">
        <f>IFERROR(__xludf.DUMMYFUNCTION("IF($D66=""Euro"",'Original Data'!E66,
IF($D66=""Dolar"",'Original Data'!E66*GOOGLEFINANCE(""Currency:USDEUR""),
IF($D66=""Franco Suíço"",'Original Data'!E66*GOOGLEFINANCE(""Currency:CHFEUR""),
IF($D66=""Libra Esterlina"", 'Original Data'!E66*GOOGLEFINANCE"&amp;"(""Currency:GBPEUR""),
IF($D66=""Iene"",'Original Data'!E66*GOOGLEFINANCE(""Currency:JPYEUR""),
IF($D66=""HKD"",'Original Data'!E66*GOOGLEFINANCE(""Currency:HKDEUR""),
IF($D66=""KRW"",'Original Data'!E66*GOOGLEFINANCE(""Currency:KRWEUR""),"""")))))))"),13.6)</f>
        <v>13.6</v>
      </c>
      <c r="F66" s="8">
        <f>IFERROR(__xludf.DUMMYFUNCTION("IF($D66=""Euro"",'Original Data'!F66,
IF($D66=""Dolar"",'Original Data'!F66*GOOGLEFINANCE(""Currency:USDEUR""),
IF($D66=""Franco Suíço"",'Original Data'!F66*GOOGLEFINANCE(""Currency:CHFEUR""),
IF($D66=""Libra Esterlina"", 'Original Data'!F66*GOOGLEFINANCE"&amp;"(""Currency:GBPEUR""),
IF($D66=""Iene"",'Original Data'!F66*GOOGLEFINANCE(""Currency:JPYEUR""),
IF($D66=""HKD"",'Original Data'!F66*GOOGLEFINANCE(""Currency:HKDEUR""),
IF($D66=""KRW"",'Original Data'!F66*GOOGLEFINANCE(""Currency:KRWEUR""),"""")))))))"),5.39)</f>
        <v>5.39</v>
      </c>
      <c r="G66" s="8">
        <f>IFERROR(__xludf.DUMMYFUNCTION("IF($D66=""Euro"",'Original Data'!G66,
IF($D66=""Dolar"",'Original Data'!G66*GOOGLEFINANCE(""Currency:USDEUR""),
IF($D66=""Franco Suíço"",'Original Data'!G66*GOOGLEFINANCE(""Currency:CHFEUR""),
IF($D66=""Libra Esterlina"", 'Original Data'!G66*GOOGLEFINANCE"&amp;"(""Currency:GBPEUR""),
IF($D66=""Iene"",'Original Data'!G66*GOOGLEFINANCE(""Currency:JPYEUR""),
IF($D66=""HKD"",'Original Data'!G66*GOOGLEFINANCE(""Currency:HKDEUR""),
IF($D66=""KRW"",'Original Data'!G66*GOOGLEFINANCE(""Currency:KRWEUR""),"""")))))))"),0.896)</f>
        <v>0.896</v>
      </c>
      <c r="H66" s="17">
        <v>0.139815</v>
      </c>
      <c r="I66" s="7">
        <v>70.62</v>
      </c>
      <c r="J66" s="9">
        <v>0.0077</v>
      </c>
      <c r="K66" s="9">
        <v>0.067</v>
      </c>
      <c r="L66" s="9">
        <v>0.0379</v>
      </c>
      <c r="M66" s="9">
        <v>0.1072</v>
      </c>
      <c r="N66" s="8">
        <f>IFERROR(__xludf.DUMMYFUNCTION("IF('Original Data'!N66=""-"",""-"",
IF($D66=""Euro"",'Original Data'!N66,
IF($D66=""Dolar"",'Original Data'!N66*GOOGLEFINANCE(""Currency:USDEUR""),
IF($D66=""Franco Suíço"",'Original Data'!N66*GOOGLEFINANCE(""Currency:CHFEUR""),
IF($D66=""Libra Esterlina"&amp;""", 'Original Data'!N66*GOOGLEFINANCE(""Currency:GBPEUR""),
IF($D66=""Iene"",'Original Data'!N66*GOOGLEFINANCE(""Currency:JPYEUR""),
IF($D66=""HKD"",'Original Data'!N66*GOOGLEFINANCE(""Currency:HKDEUR""),
IF($D66=""KRW"",'Original Data'!N66*GOOGLEFINANCE("&amp;"""Currency:KRWEUR""),""""))))))))"),0.08)</f>
        <v>0.08</v>
      </c>
      <c r="O66" s="8">
        <f>IFERROR(__xludf.DUMMYFUNCTION("IF('Original Data'!O66=""-"",""-"",
IF($D66=""Euro"",'Original Data'!O66,
IF($D66=""Dolar"",'Original Data'!O66*GOOGLEFINANCE(""Currency:USDEUR""),
IF($D66=""Franco Suíço"",'Original Data'!O66*GOOGLEFINANCE(""Currency:CHFEUR""),
IF($D66=""Libra Esterlina"&amp;""", 'Original Data'!O66*GOOGLEFINANCE(""Currency:GBPEUR""),
IF($D66=""Iene"",'Original Data'!O66*GOOGLEFINANCE(""Currency:JPYEUR""),
IF($D66=""HKD"",'Original Data'!O66*GOOGLEFINANCE(""Currency:HKDEUR""),
IF($D66=""KRW"",'Original Data'!O66*GOOGLEFINANCE("&amp;"""Currency:KRWEUR""),""""))))))))"),0.19073)</f>
        <v>0.19073</v>
      </c>
      <c r="P66" s="8">
        <f>IFERROR(__xludf.DUMMYFUNCTION("IF('Original Data'!P66=""-"",""-"",
IF($D66=""Euro"",'Original Data'!P66,
IF($D66=""Dolar"",'Original Data'!P66*GOOGLEFINANCE(""Currency:USDEUR""),
IF($D66=""Franco Suíço"",'Original Data'!P66*GOOGLEFINANCE(""Currency:CHFEUR""),
IF($D66=""Libra Esterlina"&amp;""", 'Original Data'!P66*GOOGLEFINANCE(""Currency:GBPEUR""),
IF($D66=""Iene"",'Original Data'!P66*GOOGLEFINANCE(""Currency:JPYEUR""),
IF($D66=""HKD"",'Original Data'!P66*GOOGLEFINANCE(""Currency:HKDEUR""),
IF($D66=""KRW"",'Original Data'!P66*GOOGLEFINANCE("&amp;"""Currency:KRWEUR""),""""))))))))"),0.21734)</f>
        <v>0.21734</v>
      </c>
      <c r="Q66" s="8">
        <f>IFERROR(__xludf.DUMMYFUNCTION("IF('Original Data'!Q66=""-"",""-"",
IF($D66=""Euro"",'Original Data'!Q66,
IF($D66=""Dolar"",'Original Data'!Q66*GOOGLEFINANCE(""Currency:USDEUR""),
IF($D66=""Franco Suíço"",'Original Data'!Q66*GOOGLEFINANCE(""Currency:CHFEUR""),
IF($D66=""Libra Esterlina"&amp;""", 'Original Data'!Q66*GOOGLEFINANCE(""Currency:GBPEUR""),
IF($D66=""Iene"",'Original Data'!Q66*GOOGLEFINANCE(""Currency:JPYEUR""),
IF($D66=""HKD"",'Original Data'!Q66*GOOGLEFINANCE(""Currency:HKDEUR""),
IF($D66=""KRW"",'Original Data'!Q66*GOOGLEFINANCE("&amp;"""Currency:KRWEUR""),""""))))))))"),0.2202)</f>
        <v>0.2202</v>
      </c>
      <c r="R66" s="8">
        <f>IFERROR(__xludf.DUMMYFUNCTION("IF('Original Data'!R66=""-"",""-"",
IF($D66=""Euro"",'Original Data'!R66,
IF($D66=""Dolar"",'Original Data'!R66*GOOGLEFINANCE(""Currency:USDEUR""),
IF($D66=""Franco Suíço"",'Original Data'!R66*GOOGLEFINANCE(""Currency:CHFEUR""),
IF($D66=""Libra Esterlina"&amp;""", 'Original Data'!R66*GOOGLEFINANCE(""Currency:GBPEUR""),
IF($D66=""Iene"",'Original Data'!R66*GOOGLEFINANCE(""Currency:JPYEUR""),
IF($D66=""HKD"",'Original Data'!R66*GOOGLEFINANCE(""Currency:HKDEUR""),
IF($D66=""KRW"",'Original Data'!R66*GOOGLEFINANCE("&amp;"""Currency:KRWEUR""),""""))))))))"),0.23627)</f>
        <v>0.23627</v>
      </c>
      <c r="S66" s="8">
        <f>IFERROR(__xludf.DUMMYFUNCTION("IF('Original Data'!S66=""-"",""-"",
IF($D66=""Euro"",'Original Data'!S66,
IF($D66=""Dolar"",'Original Data'!S66*GOOGLEFINANCE(""Currency:USDEUR""),
IF($D66=""Franco Suíço"",'Original Data'!S66*GOOGLEFINANCE(""Currency:CHFEUR""),
IF($D66=""Libra Esterlina"&amp;""", 'Original Data'!S66*GOOGLEFINANCE(""Currency:GBPEUR""),
IF($D66=""Iene"",'Original Data'!S66*GOOGLEFINANCE(""Currency:JPYEUR""),
IF($D66=""HKD"",'Original Data'!S66*GOOGLEFINANCE(""Currency:HKDEUR""),
IF($D66=""KRW"",'Original Data'!S66*GOOGLEFINANCE("&amp;"""Currency:KRWEUR""),""""))))))))"),0.01413)</f>
        <v>0.01413</v>
      </c>
      <c r="T66" s="8">
        <f>IFERROR(__xludf.DUMMYFUNCTION("IF('Original Data'!T66=""-"",""-"",
IF($D66=""Euro"",'Original Data'!T66,
IF($D66=""Dolar"",'Original Data'!T66*GOOGLEFINANCE(""Currency:USDEUR""),
IF($D66=""Franco Suíço"",'Original Data'!T66*GOOGLEFINANCE(""Currency:CHFEUR""),
IF($D66=""Libra Esterlina"&amp;""", 'Original Data'!T66*GOOGLEFINANCE(""Currency:GBPEUR""),
IF($D66=""Iene"",'Original Data'!T66*GOOGLEFINANCE(""Currency:JPYEUR""),
IF($D66=""HKD"",'Original Data'!T66*GOOGLEFINANCE(""Currency:HKDEUR""),
IF($D66=""KRW"",'Original Data'!T66*GOOGLEFINANCE("&amp;"""Currency:KRWEUR""),""""))))))))"),0.0171)</f>
        <v>0.0171</v>
      </c>
      <c r="U66" s="8">
        <f>IFERROR(__xludf.DUMMYFUNCTION("IF('Original Data'!U66=""-"",""-"",
IF($D66=""Euro"",'Original Data'!U66,
IF($D66=""Dolar"",'Original Data'!U66*GOOGLEFINANCE(""Currency:USDEUR""),
IF($D66=""Franco Suíço"",'Original Data'!U66*GOOGLEFINANCE(""Currency:CHFEUR""),
IF($D66=""Libra Esterlina"&amp;""", 'Original Data'!U66*GOOGLEFINANCE(""Currency:GBPEUR""),
IF($D66=""Iene"",'Original Data'!U66*GOOGLEFINANCE(""Currency:JPYEUR""),
IF($D66=""HKD"",'Original Data'!U66*GOOGLEFINANCE(""Currency:HKDEUR""),
IF($D66=""KRW"",'Original Data'!U66*GOOGLEFINANCE("&amp;"""Currency:KRWEUR""),""""))))))))"),0.03359)</f>
        <v>0.03359</v>
      </c>
      <c r="V66" s="8">
        <f>IFERROR(__xludf.DUMMYFUNCTION("IF('Original Data'!V66=""-"",""-"",
IF($D66=""Euro"",'Original Data'!V66,
IF($D66=""Dolar"",'Original Data'!V66*GOOGLEFINANCE(""Currency:USDEUR""),
IF($D66=""Franco Suíço"",'Original Data'!V66*GOOGLEFINANCE(""Currency:CHFEUR""),
IF($D66=""Libra Esterlina"&amp;""", 'Original Data'!V66*GOOGLEFINANCE(""Currency:GBPEUR""),
IF($D66=""Iene"",'Original Data'!V66*GOOGLEFINANCE(""Currency:JPYEUR""),
IF($D66=""HKD"",'Original Data'!V66*GOOGLEFINANCE(""Currency:HKDEUR""),
IF($D66=""KRW"",'Original Data'!V66*GOOGLEFINANCE("&amp;"""Currency:KRWEUR""),""""))))))))"),0.03428)</f>
        <v>0.03428</v>
      </c>
      <c r="W66" s="7" t="s">
        <v>41</v>
      </c>
      <c r="X66" s="7" t="s">
        <v>41</v>
      </c>
      <c r="Y66" s="7" t="s">
        <v>41</v>
      </c>
      <c r="Z66" s="7" t="s">
        <v>41</v>
      </c>
      <c r="AA66" s="7" t="s">
        <v>41</v>
      </c>
      <c r="AB66" s="7" t="s">
        <v>41</v>
      </c>
      <c r="AC66" s="7" t="s">
        <v>41</v>
      </c>
      <c r="AD66" s="7" t="s">
        <v>41</v>
      </c>
      <c r="AE66" s="7" t="s">
        <v>41</v>
      </c>
      <c r="AF66" s="7" t="s">
        <v>41</v>
      </c>
      <c r="AG66" s="7" t="s">
        <v>41</v>
      </c>
    </row>
    <row r="67">
      <c r="A67" s="16" t="s">
        <v>240</v>
      </c>
      <c r="B67" s="16" t="s">
        <v>241</v>
      </c>
      <c r="C67" s="16" t="s">
        <v>242</v>
      </c>
      <c r="D67" s="7" t="s">
        <v>33</v>
      </c>
      <c r="E67" s="8">
        <f>IFERROR(__xludf.DUMMYFUNCTION("IF($D67=""Euro"",'Original Data'!E67,
IF($D67=""Dolar"",'Original Data'!E67*GOOGLEFINANCE(""Currency:USDEUR""),
IF($D67=""Franco Suíço"",'Original Data'!E67*GOOGLEFINANCE(""Currency:CHFEUR""),
IF($D67=""Libra Esterlina"", 'Original Data'!E67*GOOGLEFINANCE"&amp;"(""Currency:GBPEUR""),
IF($D67=""Iene"",'Original Data'!E67*GOOGLEFINANCE(""Currency:JPYEUR""),
IF($D67=""HKD"",'Original Data'!E67*GOOGLEFINANCE(""Currency:HKDEUR""),
IF($D67=""KRW"",'Original Data'!E67*GOOGLEFINANCE(""Currency:KRWEUR""),"""")))))))"),16.16)</f>
        <v>16.16</v>
      </c>
      <c r="F67" s="8">
        <f>IFERROR(__xludf.DUMMYFUNCTION("IF($D67=""Euro"",'Original Data'!F67,
IF($D67=""Dolar"",'Original Data'!F67*GOOGLEFINANCE(""Currency:USDEUR""),
IF($D67=""Franco Suíço"",'Original Data'!F67*GOOGLEFINANCE(""Currency:CHFEUR""),
IF($D67=""Libra Esterlina"", 'Original Data'!F67*GOOGLEFINANCE"&amp;"(""Currency:GBPEUR""),
IF($D67=""Iene"",'Original Data'!F67*GOOGLEFINANCE(""Currency:JPYEUR""),
IF($D67=""HKD"",'Original Data'!F67*GOOGLEFINANCE(""Currency:HKDEUR""),
IF($D67=""KRW"",'Original Data'!F67*GOOGLEFINANCE(""Currency:KRWEUR""),"""")))))))"),11.05)</f>
        <v>11.05</v>
      </c>
      <c r="G67" s="8">
        <f>IFERROR(__xludf.DUMMYFUNCTION("IF($D67=""Euro"",'Original Data'!G67,
IF($D67=""Dolar"",'Original Data'!G67*GOOGLEFINANCE(""Currency:USDEUR""),
IF($D67=""Franco Suíço"",'Original Data'!G67*GOOGLEFINANCE(""Currency:CHFEUR""),
IF($D67=""Libra Esterlina"", 'Original Data'!G67*GOOGLEFINANCE"&amp;"(""Currency:GBPEUR""),
IF($D67=""Iene"",'Original Data'!G67*GOOGLEFINANCE(""Currency:JPYEUR""),
IF($D67=""HKD"",'Original Data'!G67*GOOGLEFINANCE(""Currency:HKDEUR""),
IF($D67=""KRW"",'Original Data'!G67*GOOGLEFINANCE(""Currency:KRWEUR""),"""")))))))"),32.821)</f>
        <v>32.821</v>
      </c>
      <c r="H67" s="17">
        <v>9.026</v>
      </c>
      <c r="I67" s="7">
        <v>5.91</v>
      </c>
      <c r="J67" s="9">
        <v>0.0724</v>
      </c>
      <c r="K67" s="7" t="s">
        <v>51</v>
      </c>
      <c r="L67" s="9">
        <v>0.0029</v>
      </c>
      <c r="M67" s="9">
        <v>0.0633</v>
      </c>
      <c r="N67" s="8">
        <f>IFERROR(__xludf.DUMMYFUNCTION("IF('Original Data'!N67=""-"",""-"",
IF($D67=""Euro"",'Original Data'!N67,
IF($D67=""Dolar"",'Original Data'!N67*GOOGLEFINANCE(""Currency:USDEUR""),
IF($D67=""Franco Suíço"",'Original Data'!N67*GOOGLEFINANCE(""Currency:CHFEUR""),
IF($D67=""Libra Esterlina"&amp;""", 'Original Data'!N67*GOOGLEFINANCE(""Currency:GBPEUR""),
IF($D67=""Iene"",'Original Data'!N67*GOOGLEFINANCE(""Currency:JPYEUR""),
IF($D67=""HKD"",'Original Data'!N67*GOOGLEFINANCE(""Currency:HKDEUR""),
IF($D67=""KRW"",'Original Data'!N67*GOOGLEFINANCE("&amp;"""Currency:KRWEUR""),""""))))))))"),1.83)</f>
        <v>1.83</v>
      </c>
      <c r="O67" s="8">
        <f>IFERROR(__xludf.DUMMYFUNCTION("IF('Original Data'!O67=""-"",""-"",
IF($D67=""Euro"",'Original Data'!O67,
IF($D67=""Dolar"",'Original Data'!O67*GOOGLEFINANCE(""Currency:USDEUR""),
IF($D67=""Franco Suíço"",'Original Data'!O67*GOOGLEFINANCE(""Currency:CHFEUR""),
IF($D67=""Libra Esterlina"&amp;""", 'Original Data'!O67*GOOGLEFINANCE(""Currency:GBPEUR""),
IF($D67=""Iene"",'Original Data'!O67*GOOGLEFINANCE(""Currency:JPYEUR""),
IF($D67=""HKD"",'Original Data'!O67*GOOGLEFINANCE(""Currency:HKDEUR""),
IF($D67=""KRW"",'Original Data'!O67*GOOGLEFINANCE("&amp;"""Currency:KRWEUR""),""""))))))))"),25.9)</f>
        <v>25.9</v>
      </c>
      <c r="P67" s="8">
        <f>IFERROR(__xludf.DUMMYFUNCTION("IF('Original Data'!P67=""-"",""-"",
IF($D67=""Euro"",'Original Data'!P67,
IF($D67=""Dolar"",'Original Data'!P67*GOOGLEFINANCE(""Currency:USDEUR""),
IF($D67=""Franco Suíço"",'Original Data'!P67*GOOGLEFINANCE(""Currency:CHFEUR""),
IF($D67=""Libra Esterlina"&amp;""", 'Original Data'!P67*GOOGLEFINANCE(""Currency:GBPEUR""),
IF($D67=""Iene"",'Original Data'!P67*GOOGLEFINANCE(""Currency:JPYEUR""),
IF($D67=""HKD"",'Original Data'!P67*GOOGLEFINANCE(""Currency:HKDEUR""),
IF($D67=""KRW"",'Original Data'!P67*GOOGLEFINANCE("&amp;"""Currency:KRWEUR""),""""))))))))"),26.61)</f>
        <v>26.61</v>
      </c>
      <c r="Q67" s="8">
        <f>IFERROR(__xludf.DUMMYFUNCTION("IF('Original Data'!Q67=""-"",""-"",
IF($D67=""Euro"",'Original Data'!Q67,
IF($D67=""Dolar"",'Original Data'!Q67*GOOGLEFINANCE(""Currency:USDEUR""),
IF($D67=""Franco Suíço"",'Original Data'!Q67*GOOGLEFINANCE(""Currency:CHFEUR""),
IF($D67=""Libra Esterlina"&amp;""", 'Original Data'!Q67*GOOGLEFINANCE(""Currency:GBPEUR""),
IF($D67=""Iene"",'Original Data'!Q67*GOOGLEFINANCE(""Currency:JPYEUR""),
IF($D67=""HKD"",'Original Data'!Q67*GOOGLEFINANCE(""Currency:HKDEUR""),
IF($D67=""KRW"",'Original Data'!Q67*GOOGLEFINANCE("&amp;"""Currency:KRWEUR""),""""))))))))"),24.47)</f>
        <v>24.47</v>
      </c>
      <c r="R67" s="8">
        <f>IFERROR(__xludf.DUMMYFUNCTION("IF('Original Data'!R67=""-"",""-"",
IF($D67=""Euro"",'Original Data'!R67,
IF($D67=""Dolar"",'Original Data'!R67*GOOGLEFINANCE(""Currency:USDEUR""),
IF($D67=""Franco Suíço"",'Original Data'!R67*GOOGLEFINANCE(""Currency:CHFEUR""),
IF($D67=""Libra Esterlina"&amp;""", 'Original Data'!R67*GOOGLEFINANCE(""Currency:GBPEUR""),
IF($D67=""Iene"",'Original Data'!R67*GOOGLEFINANCE(""Currency:JPYEUR""),
IF($D67=""HKD"",'Original Data'!R67*GOOGLEFINANCE(""Currency:HKDEUR""),
IF($D67=""KRW"",'Original Data'!R67*GOOGLEFINANCE("&amp;"""Currency:KRWEUR""),""""))))))))"),22.66)</f>
        <v>22.66</v>
      </c>
      <c r="S67" s="8" t="str">
        <f>IFERROR(__xludf.DUMMYFUNCTION("IF('Original Data'!S67=""-"",""-"",
IF($D67=""Euro"",'Original Data'!S67,
IF($D67=""Dolar"",'Original Data'!S67*GOOGLEFINANCE(""Currency:USDEUR""),
IF($D67=""Franco Suíço"",'Original Data'!S67*GOOGLEFINANCE(""Currency:CHFEUR""),
IF($D67=""Libra Esterlina"&amp;""", 'Original Data'!S67*GOOGLEFINANCE(""Currency:GBPEUR""),
IF($D67=""Iene"",'Original Data'!S67*GOOGLEFINANCE(""Currency:JPYEUR""),
IF($D67=""HKD"",'Original Data'!S67*GOOGLEFINANCE(""Currency:HKDEUR""),
IF($D67=""KRW"",'Original Data'!S67*GOOGLEFINANCE("&amp;"""Currency:KRWEUR""),""""))))))))"),"-")</f>
        <v>-</v>
      </c>
      <c r="T67" s="8" t="str">
        <f>IFERROR(__xludf.DUMMYFUNCTION("IF('Original Data'!T67=""-"",""-"",
IF($D67=""Euro"",'Original Data'!T67,
IF($D67=""Dolar"",'Original Data'!T67*GOOGLEFINANCE(""Currency:USDEUR""),
IF($D67=""Franco Suíço"",'Original Data'!T67*GOOGLEFINANCE(""Currency:CHFEUR""),
IF($D67=""Libra Esterlina"&amp;""", 'Original Data'!T67*GOOGLEFINANCE(""Currency:GBPEUR""),
IF($D67=""Iene"",'Original Data'!T67*GOOGLEFINANCE(""Currency:JPYEUR""),
IF($D67=""HKD"",'Original Data'!T67*GOOGLEFINANCE(""Currency:HKDEUR""),
IF($D67=""KRW"",'Original Data'!T67*GOOGLEFINANCE("&amp;"""Currency:KRWEUR""),""""))))))))"),"-")</f>
        <v>-</v>
      </c>
      <c r="U67" s="8" t="str">
        <f>IFERROR(__xludf.DUMMYFUNCTION("IF('Original Data'!U67=""-"",""-"",
IF($D67=""Euro"",'Original Data'!U67,
IF($D67=""Dolar"",'Original Data'!U67*GOOGLEFINANCE(""Currency:USDEUR""),
IF($D67=""Franco Suíço"",'Original Data'!U67*GOOGLEFINANCE(""Currency:CHFEUR""),
IF($D67=""Libra Esterlina"&amp;""", 'Original Data'!U67*GOOGLEFINANCE(""Currency:GBPEUR""),
IF($D67=""Iene"",'Original Data'!U67*GOOGLEFINANCE(""Currency:JPYEUR""),
IF($D67=""HKD"",'Original Data'!U67*GOOGLEFINANCE(""Currency:HKDEUR""),
IF($D67=""KRW"",'Original Data'!U67*GOOGLEFINANCE("&amp;"""Currency:KRWEUR""),""""))))))))"),"-")</f>
        <v>-</v>
      </c>
      <c r="V67" s="8" t="str">
        <f>IFERROR(__xludf.DUMMYFUNCTION("IF('Original Data'!V67=""-"",""-"",
IF($D67=""Euro"",'Original Data'!V67,
IF($D67=""Dolar"",'Original Data'!V67*GOOGLEFINANCE(""Currency:USDEUR""),
IF($D67=""Franco Suíço"",'Original Data'!V67*GOOGLEFINANCE(""Currency:CHFEUR""),
IF($D67=""Libra Esterlina"&amp;""", 'Original Data'!V67*GOOGLEFINANCE(""Currency:GBPEUR""),
IF($D67=""Iene"",'Original Data'!V67*GOOGLEFINANCE(""Currency:JPYEUR""),
IF($D67=""HKD"",'Original Data'!V67*GOOGLEFINANCE(""Currency:HKDEUR""),
IF($D67=""KRW"",'Original Data'!V67*GOOGLEFINANCE("&amp;"""Currency:KRWEUR""),""""))))))))"),"-")</f>
        <v>-</v>
      </c>
      <c r="W67" s="7" t="s">
        <v>35</v>
      </c>
      <c r="X67" s="7" t="s">
        <v>43</v>
      </c>
      <c r="Y67" s="7" t="s">
        <v>41</v>
      </c>
      <c r="Z67" s="7" t="s">
        <v>41</v>
      </c>
      <c r="AA67" s="7" t="s">
        <v>41</v>
      </c>
      <c r="AB67" s="7" t="s">
        <v>41</v>
      </c>
      <c r="AC67" s="7">
        <v>25.0</v>
      </c>
      <c r="AD67" s="7">
        <v>1.5</v>
      </c>
      <c r="AE67" s="7">
        <v>10.6</v>
      </c>
      <c r="AF67" s="7">
        <v>12.9</v>
      </c>
      <c r="AG67" s="7">
        <v>3.0</v>
      </c>
    </row>
    <row r="68">
      <c r="A68" s="16" t="s">
        <v>243</v>
      </c>
      <c r="B68" s="16" t="s">
        <v>244</v>
      </c>
      <c r="C68" s="16" t="s">
        <v>245</v>
      </c>
      <c r="D68" s="7" t="s">
        <v>33</v>
      </c>
      <c r="E68" s="8">
        <f>IFERROR(__xludf.DUMMYFUNCTION("IF($D68=""Euro"",'Original Data'!E68,
IF($D68=""Dolar"",'Original Data'!E68*GOOGLEFINANCE(""Currency:USDEUR""),
IF($D68=""Franco Suíço"",'Original Data'!E68*GOOGLEFINANCE(""Currency:CHFEUR""),
IF($D68=""Libra Esterlina"", 'Original Data'!E68*GOOGLEFINANCE"&amp;"(""Currency:GBPEUR""),
IF($D68=""Iene"",'Original Data'!E68*GOOGLEFINANCE(""Currency:JPYEUR""),
IF($D68=""HKD"",'Original Data'!E68*GOOGLEFINANCE(""Currency:HKDEUR""),
IF($D68=""KRW"",'Original Data'!E68*GOOGLEFINANCE(""Currency:KRWEUR""),"""")))))))"),9.75)</f>
        <v>9.75</v>
      </c>
      <c r="F68" s="8">
        <f>IFERROR(__xludf.DUMMYFUNCTION("IF($D68=""Euro"",'Original Data'!F68,
IF($D68=""Dolar"",'Original Data'!F68*GOOGLEFINANCE(""Currency:USDEUR""),
IF($D68=""Franco Suíço"",'Original Data'!F68*GOOGLEFINANCE(""Currency:CHFEUR""),
IF($D68=""Libra Esterlina"", 'Original Data'!F68*GOOGLEFINANCE"&amp;"(""Currency:GBPEUR""),
IF($D68=""Iene"",'Original Data'!F68*GOOGLEFINANCE(""Currency:JPYEUR""),
IF($D68=""HKD"",'Original Data'!F68*GOOGLEFINANCE(""Currency:HKDEUR""),
IF($D68=""KRW"",'Original Data'!F68*GOOGLEFINANCE(""Currency:KRWEUR""),"""")))))))"),26.64)</f>
        <v>26.64</v>
      </c>
      <c r="G68" s="8">
        <f>IFERROR(__xludf.DUMMYFUNCTION("IF($D68=""Euro"",'Original Data'!G68,
IF($D68=""Dolar"",'Original Data'!G68*GOOGLEFINANCE(""Currency:USDEUR""),
IF($D68=""Franco Suíço"",'Original Data'!G68*GOOGLEFINANCE(""Currency:CHFEUR""),
IF($D68=""Libra Esterlina"", 'Original Data'!G68*GOOGLEFINANCE"&amp;"(""Currency:GBPEUR""),
IF($D68=""Iene"",'Original Data'!G68*GOOGLEFINANCE(""Currency:JPYEUR""),
IF($D68=""HKD"",'Original Data'!G68*GOOGLEFINANCE(""Currency:HKDEUR""),
IF($D68=""KRW"",'Original Data'!G68*GOOGLEFINANCE(""Currency:KRWEUR""),"""")))))))"),12.037)</f>
        <v>12.037</v>
      </c>
      <c r="H68" s="17">
        <v>0.809</v>
      </c>
      <c r="I68" s="7">
        <v>28.91</v>
      </c>
      <c r="J68" s="9">
        <v>0.0199</v>
      </c>
      <c r="K68" s="9">
        <v>0.0764</v>
      </c>
      <c r="L68" s="9">
        <v>0.0531</v>
      </c>
      <c r="M68" s="9">
        <v>0.2673</v>
      </c>
      <c r="N68" s="8">
        <f>IFERROR(__xludf.DUMMYFUNCTION("IF('Original Data'!N68=""-"",""-"",
IF($D68=""Euro"",'Original Data'!N68,
IF($D68=""Dolar"",'Original Data'!N68*GOOGLEFINANCE(""Currency:USDEUR""),
IF($D68=""Franco Suíço"",'Original Data'!N68*GOOGLEFINANCE(""Currency:CHFEUR""),
IF($D68=""Libra Esterlina"&amp;""", 'Original Data'!N68*GOOGLEFINANCE(""Currency:GBPEUR""),
IF($D68=""Iene"",'Original Data'!N68*GOOGLEFINANCE(""Currency:JPYEUR""),
IF($D68=""HKD"",'Original Data'!N68*GOOGLEFINANCE(""Currency:HKDEUR""),
IF($D68=""KRW"",'Original Data'!N68*GOOGLEFINANCE("&amp;"""Currency:KRWEUR""),""""))))))))"),0.93)</f>
        <v>0.93</v>
      </c>
      <c r="O68" s="8">
        <f>IFERROR(__xludf.DUMMYFUNCTION("IF('Original Data'!O68=""-"",""-"",
IF($D68=""Euro"",'Original Data'!O68,
IF($D68=""Dolar"",'Original Data'!O68*GOOGLEFINANCE(""Currency:USDEUR""),
IF($D68=""Franco Suíço"",'Original Data'!O68*GOOGLEFINANCE(""Currency:CHFEUR""),
IF($D68=""Libra Esterlina"&amp;""", 'Original Data'!O68*GOOGLEFINANCE(""Currency:GBPEUR""),
IF($D68=""Iene"",'Original Data'!O68*GOOGLEFINANCE(""Currency:JPYEUR""),
IF($D68=""HKD"",'Original Data'!O68*GOOGLEFINANCE(""Currency:HKDEUR""),
IF($D68=""KRW"",'Original Data'!O68*GOOGLEFINANCE("&amp;"""Currency:KRWEUR""),""""))))))))"),4.8)</f>
        <v>4.8</v>
      </c>
      <c r="P68" s="8">
        <f>IFERROR(__xludf.DUMMYFUNCTION("IF('Original Data'!P68=""-"",""-"",
IF($D68=""Euro"",'Original Data'!P68,
IF($D68=""Dolar"",'Original Data'!P68*GOOGLEFINANCE(""Currency:USDEUR""),
IF($D68=""Franco Suíço"",'Original Data'!P68*GOOGLEFINANCE(""Currency:CHFEUR""),
IF($D68=""Libra Esterlina"&amp;""", 'Original Data'!P68*GOOGLEFINANCE(""Currency:GBPEUR""),
IF($D68=""Iene"",'Original Data'!P68*GOOGLEFINANCE(""Currency:JPYEUR""),
IF($D68=""HKD"",'Original Data'!P68*GOOGLEFINANCE(""Currency:HKDEUR""),
IF($D68=""KRW"",'Original Data'!P68*GOOGLEFINANCE("&amp;"""Currency:KRWEUR""),""""))))))))"),5.1)</f>
        <v>5.1</v>
      </c>
      <c r="Q68" s="8">
        <f>IFERROR(__xludf.DUMMYFUNCTION("IF('Original Data'!Q68=""-"",""-"",
IF($D68=""Euro"",'Original Data'!Q68,
IF($D68=""Dolar"",'Original Data'!Q68*GOOGLEFINANCE(""Currency:USDEUR""),
IF($D68=""Franco Suíço"",'Original Data'!Q68*GOOGLEFINANCE(""Currency:CHFEUR""),
IF($D68=""Libra Esterlina"&amp;""", 'Original Data'!Q68*GOOGLEFINANCE(""Currency:GBPEUR""),
IF($D68=""Iene"",'Original Data'!Q68*GOOGLEFINANCE(""Currency:JPYEUR""),
IF($D68=""HKD"",'Original Data'!Q68*GOOGLEFINANCE(""Currency:HKDEUR""),
IF($D68=""KRW"",'Original Data'!Q68*GOOGLEFINANCE("&amp;"""Currency:KRWEUR""),""""))))))))"),4.6)</f>
        <v>4.6</v>
      </c>
      <c r="R68" s="8">
        <f>IFERROR(__xludf.DUMMYFUNCTION("IF('Original Data'!R68=""-"",""-"",
IF($D68=""Euro"",'Original Data'!R68,
IF($D68=""Dolar"",'Original Data'!R68*GOOGLEFINANCE(""Currency:USDEUR""),
IF($D68=""Franco Suíço"",'Original Data'!R68*GOOGLEFINANCE(""Currency:CHFEUR""),
IF($D68=""Libra Esterlina"&amp;""", 'Original Data'!R68*GOOGLEFINANCE(""Currency:GBPEUR""),
IF($D68=""Iene"",'Original Data'!R68*GOOGLEFINANCE(""Currency:JPYEUR""),
IF($D68=""HKD"",'Original Data'!R68*GOOGLEFINANCE(""Currency:HKDEUR""),
IF($D68=""KRW"",'Original Data'!R68*GOOGLEFINANCE("&amp;"""Currency:KRWEUR""),""""))))))))"),4.98)</f>
        <v>4.98</v>
      </c>
      <c r="S68" s="8">
        <f>IFERROR(__xludf.DUMMYFUNCTION("IF('Original Data'!S68=""-"",""-"",
IF($D68=""Euro"",'Original Data'!S68,
IF($D68=""Dolar"",'Original Data'!S68*GOOGLEFINANCE(""Currency:USDEUR""),
IF($D68=""Franco Suíço"",'Original Data'!S68*GOOGLEFINANCE(""Currency:CHFEUR""),
IF($D68=""Libra Esterlina"&amp;""", 'Original Data'!S68*GOOGLEFINANCE(""Currency:GBPEUR""),
IF($D68=""Iene"",'Original Data'!S68*GOOGLEFINANCE(""Currency:JPYEUR""),
IF($D68=""HKD"",'Original Data'!S68*GOOGLEFINANCE(""Currency:HKDEUR""),
IF($D68=""KRW"",'Original Data'!S68*GOOGLEFINANCE("&amp;"""Currency:KRWEUR""),""""))))))))"),0.8123)</f>
        <v>0.8123</v>
      </c>
      <c r="T68" s="8">
        <f>IFERROR(__xludf.DUMMYFUNCTION("IF('Original Data'!T68=""-"",""-"",
IF($D68=""Euro"",'Original Data'!T68,
IF($D68=""Dolar"",'Original Data'!T68*GOOGLEFINANCE(""Currency:USDEUR""),
IF($D68=""Franco Suíço"",'Original Data'!T68*GOOGLEFINANCE(""Currency:CHFEUR""),
IF($D68=""Libra Esterlina"&amp;""", 'Original Data'!T68*GOOGLEFINANCE(""Currency:GBPEUR""),
IF($D68=""Iene"",'Original Data'!T68*GOOGLEFINANCE(""Currency:JPYEUR""),
IF($D68=""HKD"",'Original Data'!T68*GOOGLEFINANCE(""Currency:HKDEUR""),
IF($D68=""KRW"",'Original Data'!T68*GOOGLEFINANCE("&amp;"""Currency:KRWEUR""),""""))))))))"),1.0)</f>
        <v>1</v>
      </c>
      <c r="U68" s="8">
        <f>IFERROR(__xludf.DUMMYFUNCTION("IF('Original Data'!U68=""-"",""-"",
IF($D68=""Euro"",'Original Data'!U68,
IF($D68=""Dolar"",'Original Data'!U68*GOOGLEFINANCE(""Currency:USDEUR""),
IF($D68=""Franco Suíço"",'Original Data'!U68*GOOGLEFINANCE(""Currency:CHFEUR""),
IF($D68=""Libra Esterlina"&amp;""", 'Original Data'!U68*GOOGLEFINANCE(""Currency:GBPEUR""),
IF($D68=""Iene"",'Original Data'!U68*GOOGLEFINANCE(""Currency:JPYEUR""),
IF($D68=""HKD"",'Original Data'!U68*GOOGLEFINANCE(""Currency:HKDEUR""),
IF($D68=""KRW"",'Original Data'!U68*GOOGLEFINANCE("&amp;"""Currency:KRWEUR""),""""))))))))"),0.8162)</f>
        <v>0.8162</v>
      </c>
      <c r="V68" s="8">
        <f>IFERROR(__xludf.DUMMYFUNCTION("IF('Original Data'!V68=""-"",""-"",
IF($D68=""Euro"",'Original Data'!V68,
IF($D68=""Dolar"",'Original Data'!V68*GOOGLEFINANCE(""Currency:USDEUR""),
IF($D68=""Franco Suíço"",'Original Data'!V68*GOOGLEFINANCE(""Currency:CHFEUR""),
IF($D68=""Libra Esterlina"&amp;""", 'Original Data'!V68*GOOGLEFINANCE(""Currency:GBPEUR""),
IF($D68=""Iene"",'Original Data'!V68*GOOGLEFINANCE(""Currency:JPYEUR""),
IF($D68=""HKD"",'Original Data'!V68*GOOGLEFINANCE(""Currency:HKDEUR""),
IF($D68=""KRW"",'Original Data'!V68*GOOGLEFINANCE("&amp;"""Currency:KRWEUR""),""""))))))))"),0.9732)</f>
        <v>0.9732</v>
      </c>
      <c r="W68" s="7" t="s">
        <v>43</v>
      </c>
      <c r="X68" s="7" t="s">
        <v>43</v>
      </c>
      <c r="Y68" s="7" t="s">
        <v>41</v>
      </c>
      <c r="Z68" s="7" t="s">
        <v>41</v>
      </c>
      <c r="AA68" s="7" t="s">
        <v>41</v>
      </c>
      <c r="AB68" s="7" t="s">
        <v>41</v>
      </c>
      <c r="AC68" s="7">
        <v>11.0</v>
      </c>
      <c r="AD68" s="7">
        <v>0.1</v>
      </c>
      <c r="AE68" s="7">
        <v>6.3</v>
      </c>
      <c r="AF68" s="7">
        <v>4.8</v>
      </c>
      <c r="AG68" s="7">
        <v>2.0</v>
      </c>
    </row>
    <row r="69">
      <c r="A69" s="16" t="s">
        <v>246</v>
      </c>
      <c r="B69" s="16" t="s">
        <v>247</v>
      </c>
      <c r="C69" s="16" t="s">
        <v>248</v>
      </c>
      <c r="D69" s="7" t="s">
        <v>249</v>
      </c>
      <c r="E69" s="8">
        <f>IFERROR(__xludf.DUMMYFUNCTION("IF($D69=""Euro"",'Original Data'!E69,
IF($D69=""Dolar"",'Original Data'!E69*GOOGLEFINANCE(""Currency:USDEUR""),
IF($D69=""Franco Suíço"",'Original Data'!E69*GOOGLEFINANCE(""Currency:CHFEUR""),
IF($D69=""Libra Esterlina"", 'Original Data'!E69*GOOGLEFINANCE"&amp;"(""Currency:GBPEUR""),
IF($D69=""Iene"",'Original Data'!E69*GOOGLEFINANCE(""Currency:JPYEUR""),
IF($D69=""HKD"",'Original Data'!E69*GOOGLEFINANCE(""Currency:HKDEUR""),
IF($D69=""KRW"",'Original Data'!E69*GOOGLEFINANCE(""Currency:KRWEUR""),"""")))))))"),0.7276721453064)</f>
        <v>0.7276721453</v>
      </c>
      <c r="F69" s="8">
        <f>IFERROR(__xludf.DUMMYFUNCTION("IF($D69=""Euro"",'Original Data'!F69,
IF($D69=""Dolar"",'Original Data'!F69*GOOGLEFINANCE(""Currency:USDEUR""),
IF($D69=""Franco Suíço"",'Original Data'!F69*GOOGLEFINANCE(""Currency:CHFEUR""),
IF($D69=""Libra Esterlina"", 'Original Data'!F69*GOOGLEFINANCE"&amp;"(""Currency:GBPEUR""),
IF($D69=""Iene"",'Original Data'!F69*GOOGLEFINANCE(""Currency:JPYEUR""),
IF($D69=""HKD"",'Original Data'!F69*GOOGLEFINANCE(""Currency:HKDEUR""),
IF($D69=""KRW"",'Original Data'!F69*GOOGLEFINANCE(""Currency:KRWEUR""),"""")))))))"),0.7276721453064)</f>
        <v>0.7276721453</v>
      </c>
      <c r="G69" s="8">
        <f>IFERROR(__xludf.DUMMYFUNCTION("IF($D69=""Euro"",'Original Data'!G69,
IF($D69=""Dolar"",'Original Data'!G69*GOOGLEFINANCE(""Currency:USDEUR""),
IF($D69=""Franco Suíço"",'Original Data'!G69*GOOGLEFINANCE(""Currency:CHFEUR""),
IF($D69=""Libra Esterlina"", 'Original Data'!G69*GOOGLEFINANCE"&amp;"(""Currency:GBPEUR""),
IF($D69=""Iene"",'Original Data'!G69*GOOGLEFINANCE(""Currency:JPYEUR""),
IF($D69=""HKD"",'Original Data'!G69*GOOGLEFINANCE(""Currency:HKDEUR""),
IF($D69=""KRW"",'Original Data'!G69*GOOGLEFINANCE(""Currency:KRWEUR""),"""")))))))"),2.6611741878624002)</f>
        <v>2.661174188</v>
      </c>
      <c r="H69" s="17">
        <v>1.646</v>
      </c>
      <c r="I69" s="7">
        <v>19.04</v>
      </c>
      <c r="J69" s="7" t="s">
        <v>51</v>
      </c>
      <c r="K69" s="9">
        <v>9.0E-4</v>
      </c>
      <c r="L69" s="9">
        <v>7.0E-4</v>
      </c>
      <c r="M69" s="9">
        <v>0.0048</v>
      </c>
      <c r="N69" s="8">
        <f>IFERROR(__xludf.DUMMYFUNCTION("'Original Data'!N69*GOOGLEFINANCE(""Currency:USDEUR"")"),-0.92819)</f>
        <v>-0.92819</v>
      </c>
      <c r="O69" s="8">
        <f>IFERROR(__xludf.DUMMYFUNCTION("'Original Data'!O69*GOOGLEFINANCE(""Currency:USDEUR"")"),2.3140419999999997)</f>
        <v>2.314042</v>
      </c>
      <c r="P69" s="8">
        <f>IFERROR(__xludf.DUMMYFUNCTION("'Original Data'!P69*GOOGLEFINANCE(""Currency:USDEUR"")"),2.234089)</f>
        <v>2.234089</v>
      </c>
      <c r="Q69" s="8">
        <f>IFERROR(__xludf.DUMMYFUNCTION("'Original Data'!Q69*GOOGLEFINANCE(""Currency:USDEUR"")"),0.9493269999999998)</f>
        <v>0.949327</v>
      </c>
      <c r="R69" s="8">
        <f>IFERROR(__xludf.DUMMYFUNCTION("'Original Data'!R69*GOOGLEFINANCE(""Currency:USDEUR"")"),1.140479)</f>
        <v>1.140479</v>
      </c>
      <c r="S69" s="8">
        <f>IFERROR(__xludf.DUMMYFUNCTION("'Original Data'!S69*GOOGLEFINANCE(""Currency:USDEUR"")"),0.611135)</f>
        <v>0.611135</v>
      </c>
      <c r="T69" s="8">
        <f>IFERROR(__xludf.DUMMYFUNCTION("'Original Data'!T69*GOOGLEFINANCE(""Currency:USDEUR"")"),0.536696)</f>
        <v>0.536696</v>
      </c>
      <c r="U69" s="8">
        <f>IFERROR(__xludf.DUMMYFUNCTION("'Original Data'!U69*GOOGLEFINANCE(""Currency:USDEUR"")"),-0.0780231)</f>
        <v>-0.0780231</v>
      </c>
      <c r="V69" s="8">
        <f>IFERROR(__xludf.DUMMYFUNCTION("'Original Data'!V69*GOOGLEFINANCE(""Currency:USDEUR"")"),0.122227)</f>
        <v>0.122227</v>
      </c>
      <c r="W69" s="7" t="s">
        <v>42</v>
      </c>
      <c r="X69" s="7" t="s">
        <v>52</v>
      </c>
      <c r="Y69" s="7" t="s">
        <v>59</v>
      </c>
      <c r="Z69" s="7" t="s">
        <v>59</v>
      </c>
      <c r="AA69" s="7" t="s">
        <v>43</v>
      </c>
      <c r="AB69" s="7" t="s">
        <v>52</v>
      </c>
      <c r="AC69" s="7" t="s">
        <v>41</v>
      </c>
      <c r="AD69" s="7" t="s">
        <v>41</v>
      </c>
      <c r="AE69" s="7" t="s">
        <v>41</v>
      </c>
      <c r="AF69" s="7" t="s">
        <v>41</v>
      </c>
      <c r="AG69" s="7" t="s">
        <v>41</v>
      </c>
    </row>
    <row r="70">
      <c r="A70" s="16" t="s">
        <v>250</v>
      </c>
      <c r="B70" s="16" t="s">
        <v>251</v>
      </c>
      <c r="C70" s="16" t="s">
        <v>252</v>
      </c>
      <c r="D70" s="7" t="s">
        <v>33</v>
      </c>
      <c r="E70" s="8">
        <f>IFERROR(__xludf.DUMMYFUNCTION("IF($D70=""Euro"",'Original Data'!E70,
IF($D70=""Dolar"",'Original Data'!E70*GOOGLEFINANCE(""Currency:USDEUR""),
IF($D70=""Franco Suíço"",'Original Data'!E70*GOOGLEFINANCE(""Currency:CHFEUR""),
IF($D70=""Libra Esterlina"", 'Original Data'!E70*GOOGLEFINANCE"&amp;"(""Currency:GBPEUR""),
IF($D70=""Iene"",'Original Data'!E70*GOOGLEFINANCE(""Currency:JPYEUR""),
IF($D70=""HKD"",'Original Data'!E70*GOOGLEFINANCE(""Currency:HKDEUR""),
IF($D70=""KRW"",'Original Data'!E70*GOOGLEFINANCE(""Currency:KRWEUR""),"""")))))))"),46.25)</f>
        <v>46.25</v>
      </c>
      <c r="F70" s="8">
        <f>IFERROR(__xludf.DUMMYFUNCTION("IF($D70=""Euro"",'Original Data'!F70,
IF($D70=""Dolar"",'Original Data'!F70*GOOGLEFINANCE(""Currency:USDEUR""),
IF($D70=""Franco Suíço"",'Original Data'!F70*GOOGLEFINANCE(""Currency:CHFEUR""),
IF($D70=""Libra Esterlina"", 'Original Data'!F70*GOOGLEFINANCE"&amp;"(""Currency:GBPEUR""),
IF($D70=""Iene"",'Original Data'!F70*GOOGLEFINANCE(""Currency:JPYEUR""),
IF($D70=""HKD"",'Original Data'!F70*GOOGLEFINANCE(""Currency:HKDEUR""),
IF($D70=""KRW"",'Original Data'!F70*GOOGLEFINANCE(""Currency:KRWEUR""),"""")))))))"),30.56)</f>
        <v>30.56</v>
      </c>
      <c r="G70" s="8">
        <f>IFERROR(__xludf.DUMMYFUNCTION("IF($D70=""Euro"",'Original Data'!G70,
IF($D70=""Dolar"",'Original Data'!G70*GOOGLEFINANCE(""Currency:USDEUR""),
IF($D70=""Franco Suíço"",'Original Data'!G70*GOOGLEFINANCE(""Currency:CHFEUR""),
IF($D70=""Libra Esterlina"", 'Original Data'!G70*GOOGLEFINANCE"&amp;"(""Currency:GBPEUR""),
IF($D70=""Iene"",'Original Data'!G70*GOOGLEFINANCE(""Currency:JPYEUR""),
IF($D70=""HKD"",'Original Data'!G70*GOOGLEFINANCE(""Currency:HKDEUR""),
IF($D70=""KRW"",'Original Data'!G70*GOOGLEFINANCE(""Currency:KRWEUR""),"""")))))))"),27.548)</f>
        <v>27.548</v>
      </c>
      <c r="H70" s="17">
        <v>6.279</v>
      </c>
      <c r="I70" s="7">
        <v>2.47</v>
      </c>
      <c r="J70" s="9">
        <v>0.0109</v>
      </c>
      <c r="K70" s="9">
        <v>0.0728</v>
      </c>
      <c r="L70" s="9">
        <v>0.0524</v>
      </c>
      <c r="M70" s="9">
        <v>0.1089</v>
      </c>
      <c r="N70" s="8">
        <f>IFERROR(__xludf.DUMMYFUNCTION("'Original Data'!N70*GOOGLEFINANCE(""Currency:USDEUR"")"),11.276129999999998)</f>
        <v>11.27613</v>
      </c>
      <c r="O70" s="8">
        <f>IFERROR(__xludf.DUMMYFUNCTION("'Original Data'!O70*GOOGLEFINANCE(""Currency:USDEUR"")"),69.874327)</f>
        <v>69.874327</v>
      </c>
      <c r="P70" s="8">
        <f>IFERROR(__xludf.DUMMYFUNCTION("'Original Data'!P70*GOOGLEFINANCE(""Currency:USDEUR"")"),64.89518499999998)</f>
        <v>64.895185</v>
      </c>
      <c r="Q70" s="8">
        <f>IFERROR(__xludf.DUMMYFUNCTION("'Original Data'!Q70*GOOGLEFINANCE(""Currency:USDEUR"")"),48.95513)</f>
        <v>48.95513</v>
      </c>
      <c r="R70" s="8">
        <f>IFERROR(__xludf.DUMMYFUNCTION("'Original Data'!R70*GOOGLEFINANCE(""Currency:USDEUR"")"),70.368749)</f>
        <v>70.368749</v>
      </c>
      <c r="S70" s="8">
        <f>IFERROR(__xludf.DUMMYFUNCTION("'Original Data'!S70*GOOGLEFINANCE(""Currency:USDEUR"")"),9.433535)</f>
        <v>9.433535</v>
      </c>
      <c r="T70" s="8">
        <f>IFERROR(__xludf.DUMMYFUNCTION("'Original Data'!T70*GOOGLEFINANCE(""Currency:USDEUR"")"),4.774205)</f>
        <v>4.774205</v>
      </c>
      <c r="U70" s="8">
        <f>IFERROR(__xludf.DUMMYFUNCTION("'Original Data'!U70*GOOGLEFINANCE(""Currency:USDEUR"")"),3.952619)</f>
        <v>3.952619</v>
      </c>
      <c r="V70" s="8">
        <f>IFERROR(__xludf.DUMMYFUNCTION("'Original Data'!V70*GOOGLEFINANCE(""Currency:USDEUR"")"),17.832276)</f>
        <v>17.832276</v>
      </c>
      <c r="W70" s="7" t="s">
        <v>35</v>
      </c>
      <c r="X70" s="7" t="s">
        <v>43</v>
      </c>
      <c r="Y70" s="7" t="s">
        <v>59</v>
      </c>
      <c r="Z70" s="7" t="s">
        <v>59</v>
      </c>
      <c r="AA70" s="7" t="s">
        <v>44</v>
      </c>
      <c r="AB70" s="7" t="s">
        <v>52</v>
      </c>
      <c r="AC70" s="7">
        <v>37.0</v>
      </c>
      <c r="AD70" s="7">
        <v>15.6</v>
      </c>
      <c r="AE70" s="7">
        <v>14.9</v>
      </c>
      <c r="AF70" s="7">
        <v>6.5</v>
      </c>
      <c r="AG70" s="7">
        <v>4.0</v>
      </c>
    </row>
    <row r="71">
      <c r="A71" s="16" t="s">
        <v>253</v>
      </c>
      <c r="B71" s="16" t="s">
        <v>254</v>
      </c>
      <c r="C71" s="16" t="s">
        <v>255</v>
      </c>
      <c r="D71" s="7" t="s">
        <v>40</v>
      </c>
      <c r="E71" s="8">
        <f>IFERROR(__xludf.DUMMYFUNCTION("IF($D71=""Euro"",'Original Data'!E71,
IF($D71=""Dolar"",'Original Data'!E71*GOOGLEFINANCE(""Currency:USDEUR""),
IF($D71=""Franco Suíço"",'Original Data'!E71*GOOGLEFINANCE(""Currency:CHFEUR""),
IF($D71=""Libra Esterlina"", 'Original Data'!E71*GOOGLEFINANCE"&amp;"(""Currency:GBPEUR""),
IF($D71=""Iene"",'Original Data'!E71*GOOGLEFINANCE(""Currency:JPYEUR""),
IF($D71=""HKD"",'Original Data'!E71*GOOGLEFINANCE(""Currency:HKDEUR""),
IF($D71=""KRW"",'Original Data'!E71*GOOGLEFINANCE(""Currency:KRWEUR""),"""")))))))"),41.355)</f>
        <v>41.355</v>
      </c>
      <c r="F71" s="8">
        <f>IFERROR(__xludf.DUMMYFUNCTION("IF($D71=""Euro"",'Original Data'!F71,
IF($D71=""Dolar"",'Original Data'!F71*GOOGLEFINANCE(""Currency:USDEUR""),
IF($D71=""Franco Suíço"",'Original Data'!F71*GOOGLEFINANCE(""Currency:CHFEUR""),
IF($D71=""Libra Esterlina"", 'Original Data'!F71*GOOGLEFINANCE"&amp;"(""Currency:GBPEUR""),
IF($D71=""Iene"",'Original Data'!F71*GOOGLEFINANCE(""Currency:JPYEUR""),
IF($D71=""HKD"",'Original Data'!F71*GOOGLEFINANCE(""Currency:HKDEUR""),
IF($D71=""KRW"",'Original Data'!F71*GOOGLEFINANCE(""Currency:KRWEUR""),"""")))))))"),139.15497999999997)</f>
        <v>139.15498</v>
      </c>
      <c r="G71" s="8">
        <f>IFERROR(__xludf.DUMMYFUNCTION("IF($D71=""Euro"",'Original Data'!G71,
IF($D71=""Dolar"",'Original Data'!G71*GOOGLEFINANCE(""Currency:USDEUR""),
IF($D71=""Franco Suíço"",'Original Data'!G71*GOOGLEFINANCE(""Currency:CHFEUR""),
IF($D71=""Libra Esterlina"", 'Original Data'!G71*GOOGLEFINANCE"&amp;"(""Currency:GBPEUR""),
IF($D71=""Iene"",'Original Data'!G71*GOOGLEFINANCE(""Currency:JPYEUR""),
IF($D71=""HKD"",'Original Data'!G71*GOOGLEFINANCE(""Currency:HKDEUR""),
IF($D71=""KRW"",'Original Data'!G71*GOOGLEFINANCE(""Currency:KRWEUR""),"""")))))))"),38.32689499999999)</f>
        <v>38.326895</v>
      </c>
      <c r="H71" s="17">
        <v>2.742</v>
      </c>
      <c r="I71" s="7">
        <v>102.33</v>
      </c>
      <c r="J71" s="7" t="s">
        <v>51</v>
      </c>
      <c r="K71" s="9">
        <v>0.0273</v>
      </c>
      <c r="L71" s="9">
        <v>0.0228</v>
      </c>
      <c r="M71" s="9">
        <v>0.6547</v>
      </c>
      <c r="N71" s="8">
        <f>IFERROR(__xludf.DUMMYFUNCTION("IF('Original Data'!N71=""-"",""-"",
IF($D71=""Euro"",'Original Data'!N71,
IF($D71=""Dolar"",'Original Data'!N71*GOOGLEFINANCE(""Currency:USDEUR""),
IF($D71=""Franco Suíço"",'Original Data'!N71*GOOGLEFINANCE(""Currency:CHFEUR""),
IF($D71=""Libra Esterlina"&amp;""", 'Original Data'!N71*GOOGLEFINANCE(""Currency:GBPEUR""),
IF($D71=""Iene"",'Original Data'!N71*GOOGLEFINANCE(""Currency:JPYEUR""),
IF($D71=""HKD"",'Original Data'!N71*GOOGLEFINANCE(""Currency:HKDEUR""),
IF($D71=""KRW"",'Original Data'!N71*GOOGLEFINANCE("&amp;"""Currency:KRWEUR""),""""))))))))"),1.35093)</f>
        <v>1.35093</v>
      </c>
      <c r="O71" s="8">
        <f>IFERROR(__xludf.DUMMYFUNCTION("IF('Original Data'!O71=""-"",""-"",
IF($D71=""Euro"",'Original Data'!O71,
IF($D71=""Dolar"",'Original Data'!O71*GOOGLEFINANCE(""Currency:USDEUR""),
IF($D71=""Franco Suíço"",'Original Data'!O71*GOOGLEFINANCE(""Currency:CHFEUR""),
IF($D71=""Libra Esterlina"&amp;""", 'Original Data'!O71*GOOGLEFINANCE(""Currency:GBPEUR""),
IF($D71=""Iene"",'Original Data'!O71*GOOGLEFINANCE(""Currency:JPYEUR""),
IF($D71=""HKD"",'Original Data'!O71*GOOGLEFINANCE(""Currency:HKDEUR""),
IF($D71=""KRW"",'Original Data'!O71*GOOGLEFINANCE("&amp;"""Currency:KRWEUR""),""""))))))))"),8.18829)</f>
        <v>8.18829</v>
      </c>
      <c r="P71" s="8">
        <f>IFERROR(__xludf.DUMMYFUNCTION("IF('Original Data'!P71=""-"",""-"",
IF($D71=""Euro"",'Original Data'!P71,
IF($D71=""Dolar"",'Original Data'!P71*GOOGLEFINANCE(""Currency:USDEUR""),
IF($D71=""Franco Suíço"",'Original Data'!P71*GOOGLEFINANCE(""Currency:CHFEUR""),
IF($D71=""Libra Esterlina"&amp;""", 'Original Data'!P71*GOOGLEFINANCE(""Currency:GBPEUR""),
IF($D71=""Iene"",'Original Data'!P71*GOOGLEFINANCE(""Currency:JPYEUR""),
IF($D71=""HKD"",'Original Data'!P71*GOOGLEFINANCE(""Currency:HKDEUR""),
IF($D71=""KRW"",'Original Data'!P71*GOOGLEFINANCE("&amp;"""Currency:KRWEUR""),""""))))))))"),8.71212)</f>
        <v>8.71212</v>
      </c>
      <c r="Q71" s="8">
        <f>IFERROR(__xludf.DUMMYFUNCTION("IF('Original Data'!Q71=""-"",""-"",
IF($D71=""Euro"",'Original Data'!Q71,
IF($D71=""Dolar"",'Original Data'!Q71*GOOGLEFINANCE(""Currency:USDEUR""),
IF($D71=""Franco Suíço"",'Original Data'!Q71*GOOGLEFINANCE(""Currency:CHFEUR""),
IF($D71=""Libra Esterlina"&amp;""", 'Original Data'!Q71*GOOGLEFINANCE(""Currency:GBPEUR""),
IF($D71=""Iene"",'Original Data'!Q71*GOOGLEFINANCE(""Currency:JPYEUR""),
IF($D71=""HKD"",'Original Data'!Q71*GOOGLEFINANCE(""Currency:HKDEUR""),
IF($D71=""KRW"",'Original Data'!Q71*GOOGLEFINANCE("&amp;"""Currency:KRWEUR""),""""))))))))"),3.9884599999999995)</f>
        <v>3.98846</v>
      </c>
      <c r="R71" s="8">
        <f>IFERROR(__xludf.DUMMYFUNCTION("IF('Original Data'!R71=""-"",""-"",
IF($D71=""Euro"",'Original Data'!R71,
IF($D71=""Dolar"",'Original Data'!R71*GOOGLEFINANCE(""Currency:USDEUR""),
IF($D71=""Franco Suíço"",'Original Data'!R71*GOOGLEFINANCE(""Currency:CHFEUR""),
IF($D71=""Libra Esterlina"&amp;""", 'Original Data'!R71*GOOGLEFINANCE(""Currency:GBPEUR""),
IF($D71=""Iene"",'Original Data'!R71*GOOGLEFINANCE(""Currency:JPYEUR""),
IF($D71=""HKD"",'Original Data'!R71*GOOGLEFINANCE(""Currency:HKDEUR""),
IF($D71=""KRW"",'Original Data'!R71*GOOGLEFINANCE("&amp;"""Currency:KRWEUR""),""""))))))))"),5.34858)</f>
        <v>5.34858</v>
      </c>
      <c r="S71" s="8">
        <f>IFERROR(__xludf.DUMMYFUNCTION("IF('Original Data'!S71=""-"",""-"",
IF($D71=""Euro"",'Original Data'!S71,
IF($D71=""Dolar"",'Original Data'!S71*GOOGLEFINANCE(""Currency:USDEUR""),
IF($D71=""Franco Suíço"",'Original Data'!S71*GOOGLEFINANCE(""Currency:CHFEUR""),
IF($D71=""Libra Esterlina"&amp;""", 'Original Data'!S71*GOOGLEFINANCE(""Currency:GBPEUR""),
IF($D71=""Iene"",'Original Data'!S71*GOOGLEFINANCE(""Currency:JPYEUR""),
IF($D71=""HKD"",'Original Data'!S71*GOOGLEFINANCE(""Currency:HKDEUR""),
IF($D71=""KRW"",'Original Data'!S71*GOOGLEFINANCE("&amp;"""Currency:KRWEUR""),""""))))))))"),1.61744)</f>
        <v>1.61744</v>
      </c>
      <c r="T71" s="8">
        <f>IFERROR(__xludf.DUMMYFUNCTION("IF('Original Data'!T71=""-"",""-"",
IF($D71=""Euro"",'Original Data'!T71,
IF($D71=""Dolar"",'Original Data'!T71*GOOGLEFINANCE(""Currency:USDEUR""),
IF($D71=""Franco Suíço"",'Original Data'!T71*GOOGLEFINANCE(""Currency:CHFEUR""),
IF($D71=""Libra Esterlina"&amp;""", 'Original Data'!T71*GOOGLEFINANCE(""Currency:GBPEUR""),
IF($D71=""Iene"",'Original Data'!T71*GOOGLEFINANCE(""Currency:JPYEUR""),
IF($D71=""HKD"",'Original Data'!T71*GOOGLEFINANCE(""Currency:HKDEUR""),
IF($D71=""KRW"",'Original Data'!T71*GOOGLEFINANCE("&amp;"""Currency:KRWEUR""),""""))))))))"),1.79205)</f>
        <v>1.79205</v>
      </c>
      <c r="U71" s="8">
        <f>IFERROR(__xludf.DUMMYFUNCTION("IF('Original Data'!U71=""-"",""-"",
IF($D71=""Euro"",'Original Data'!U71,
IF($D71=""Dolar"",'Original Data'!U71*GOOGLEFINANCE(""Currency:USDEUR""),
IF($D71=""Franco Suíço"",'Original Data'!U71*GOOGLEFINANCE(""Currency:CHFEUR""),
IF($D71=""Libra Esterlina"&amp;""", 'Original Data'!U71*GOOGLEFINANCE(""Currency:GBPEUR""),
IF($D71=""Iene"",'Original Data'!U71*GOOGLEFINANCE(""Currency:JPYEUR""),
IF($D71=""HKD"",'Original Data'!U71*GOOGLEFINANCE(""Currency:HKDEUR""),
IF($D71=""KRW"",'Original Data'!U71*GOOGLEFINANCE("&amp;"""Currency:KRWEUR""),""""))))))))"),0.22147899999999998)</f>
        <v>0.221479</v>
      </c>
      <c r="V71" s="8">
        <f>IFERROR(__xludf.DUMMYFUNCTION("IF('Original Data'!V71=""-"",""-"",
IF($D71=""Euro"",'Original Data'!V71,
IF($D71=""Dolar"",'Original Data'!V71*GOOGLEFINANCE(""Currency:USDEUR""),
IF($D71=""Franco Suíço"",'Original Data'!V71*GOOGLEFINANCE(""Currency:CHFEUR""),
IF($D71=""Libra Esterlina"&amp;""", 'Original Data'!V71*GOOGLEFINANCE(""Currency:GBPEUR""),
IF($D71=""Iene"",'Original Data'!V71*GOOGLEFINANCE(""Currency:JPYEUR""),
IF($D71=""HKD"",'Original Data'!V71*GOOGLEFINANCE(""Currency:HKDEUR""),
IF($D71=""KRW"",'Original Data'!V71*GOOGLEFINANCE("&amp;"""Currency:KRWEUR""),""""))))))))"),1.13956)</f>
        <v>1.13956</v>
      </c>
      <c r="W71" s="7" t="s">
        <v>43</v>
      </c>
      <c r="X71" s="7" t="s">
        <v>43</v>
      </c>
      <c r="Y71" s="7" t="s">
        <v>256</v>
      </c>
      <c r="Z71" s="7" t="s">
        <v>44</v>
      </c>
      <c r="AA71" s="7" t="s">
        <v>35</v>
      </c>
      <c r="AB71" s="7" t="s">
        <v>44</v>
      </c>
      <c r="AC71" s="7">
        <v>20.0</v>
      </c>
      <c r="AD71" s="7">
        <v>7.9</v>
      </c>
      <c r="AE71" s="7">
        <v>8.1</v>
      </c>
      <c r="AF71" s="7">
        <v>3.9</v>
      </c>
      <c r="AG71" s="7">
        <v>2.0</v>
      </c>
    </row>
    <row r="72">
      <c r="A72" s="16" t="s">
        <v>257</v>
      </c>
      <c r="B72" s="16" t="s">
        <v>258</v>
      </c>
      <c r="C72" s="16" t="s">
        <v>259</v>
      </c>
      <c r="D72" s="7" t="s">
        <v>249</v>
      </c>
      <c r="E72" s="8">
        <f>IFERROR(__xludf.DUMMYFUNCTION("IF($D72=""Euro"",'Original Data'!E72,
IF($D72=""Dolar"",'Original Data'!E72*GOOGLEFINANCE(""Currency:USDEUR""),
IF($D72=""Franco Suíço"",'Original Data'!E72*GOOGLEFINANCE(""Currency:CHFEUR""),
IF($D72=""Libra Esterlina"", 'Original Data'!E72*GOOGLEFINANCE"&amp;"(""Currency:GBPEUR""),
IF($D72=""Iene"",'Original Data'!E72*GOOGLEFINANCE(""Currency:JPYEUR""),
IF($D72=""HKD"",'Original Data'!E72*GOOGLEFINANCE(""Currency:HKDEUR""),
IF($D72=""KRW"",'Original Data'!E72*GOOGLEFINANCE(""Currency:KRWEUR""),"""")))))))"),1.1221112521080001)</f>
        <v>1.122111252</v>
      </c>
      <c r="F72" s="8">
        <f>IFERROR(__xludf.DUMMYFUNCTION("IF($D72=""Euro"",'Original Data'!F72,
IF($D72=""Dolar"",'Original Data'!F72*GOOGLEFINANCE(""Currency:USDEUR""),
IF($D72=""Franco Suíço"",'Original Data'!F72*GOOGLEFINANCE(""Currency:CHFEUR""),
IF($D72=""Libra Esterlina"", 'Original Data'!F72*GOOGLEFINANCE"&amp;"(""Currency:GBPEUR""),
IF($D72=""Iene"",'Original Data'!F72*GOOGLEFINANCE(""Currency:JPYEUR""),
IF($D72=""HKD"",'Original Data'!F72*GOOGLEFINANCE(""Currency:HKDEUR""),
IF($D72=""KRW"",'Original Data'!F72*GOOGLEFINANCE(""Currency:KRWEUR""),"""")))))))"),0.683585015652)</f>
        <v>0.6835850157</v>
      </c>
      <c r="G72" s="8">
        <f>IFERROR(__xludf.DUMMYFUNCTION("IF($D72=""Euro"",'Original Data'!G72,
IF($D72=""Dolar"",'Original Data'!G72*GOOGLEFINANCE(""Currency:USDEUR""),
IF($D72=""Franco Suíço"",'Original Data'!G72*GOOGLEFINANCE(""Currency:CHFEUR""),
IF($D72=""Libra Esterlina"", 'Original Data'!G72*GOOGLEFINANCE"&amp;"(""Currency:GBPEUR""),
IF($D72=""Iene"",'Original Data'!G72*GOOGLEFINANCE(""Currency:JPYEUR""),
IF($D72=""HKD"",'Original Data'!G72*GOOGLEFINANCE(""Currency:HKDEUR""),
IF($D72=""KRW"",'Original Data'!G72*GOOGLEFINANCE(""Currency:KRWEUR""),"""")))))))"),3.5282601554004)</f>
        <v>3.528260155</v>
      </c>
      <c r="H72" s="17">
        <v>11.602</v>
      </c>
      <c r="I72" s="7">
        <v>5.9</v>
      </c>
      <c r="J72" s="7" t="s">
        <v>51</v>
      </c>
      <c r="K72" s="9">
        <v>0.051</v>
      </c>
      <c r="L72" s="9">
        <v>0.0398</v>
      </c>
      <c r="M72" s="9">
        <v>1.077</v>
      </c>
      <c r="N72" s="8">
        <f>IFERROR(__xludf.DUMMYFUNCTION("IF('Original Data'!N72=""-"",""-"",
IF($D72=""Euro"",'Original Data'!N72,
IF($D72=""Dolar"",'Original Data'!N72*GOOGLEFINANCE(""Currency:USDEUR""),
IF($D72=""Franco Suíço"",'Original Data'!N72*GOOGLEFINANCE(""Currency:CHFEUR""),
IF($D72=""Libra Esterlina"&amp;""", 'Original Data'!N72*GOOGLEFINANCE(""Currency:GBPEUR""),
IF($D72=""Iene"",'Original Data'!N72*GOOGLEFINANCE(""Currency:JPYEUR""),
IF($D72=""HKD"",'Original Data'!N72*GOOGLEFINANCE(""Currency:HKDEUR""),
IF($D72=""KRW"",'Original Data'!N72*GOOGLEFINANCE("&amp;"""Currency:KRWEUR""),""""))))))))"),-0.16415420615999998)</f>
        <v>-0.1641542062</v>
      </c>
      <c r="O72" s="8">
        <f>IFERROR(__xludf.DUMMYFUNCTION("IF('Original Data'!O72=""-"",""-"",
IF($D72=""Euro"",'Original Data'!O72,
IF($D72=""Dolar"",'Original Data'!O72*GOOGLEFINANCE(""Currency:USDEUR""),
IF($D72=""Franco Suíço"",'Original Data'!O72*GOOGLEFINANCE(""Currency:CHFEUR""),
IF($D72=""Libra Esterlina"&amp;""", 'Original Data'!O72*GOOGLEFINANCE(""Currency:GBPEUR""),
IF($D72=""Iene"",'Original Data'!O72*GOOGLEFINANCE(""Currency:JPYEUR""),
IF($D72=""HKD"",'Original Data'!O72*GOOGLEFINANCE(""Currency:HKDEUR""),
IF($D72=""KRW"",'Original Data'!O72*GOOGLEFINANCE("&amp;"""Currency:KRWEUR""),""""))))))))"),4.6469710703808)</f>
        <v>4.64697107</v>
      </c>
      <c r="P72" s="8">
        <f>IFERROR(__xludf.DUMMYFUNCTION("IF('Original Data'!P72=""-"",""-"",
IF($D72=""Euro"",'Original Data'!P72,
IF($D72=""Dolar"",'Original Data'!P72*GOOGLEFINANCE(""Currency:USDEUR""),
IF($D72=""Franco Suíço"",'Original Data'!P72*GOOGLEFINANCE(""Currency:CHFEUR""),
IF($D72=""Libra Esterlina"&amp;""", 'Original Data'!P72*GOOGLEFINANCE(""Currency:GBPEUR""),
IF($D72=""Iene"",'Original Data'!P72*GOOGLEFINANCE(""Currency:JPYEUR""),
IF($D72=""HKD"",'Original Data'!P72*GOOGLEFINANCE(""Currency:HKDEUR""),
IF($D72=""KRW"",'Original Data'!P72*GOOGLEFINANCE("&amp;"""Currency:KRWEUR""),""""))))))))"),4.1996508585948)</f>
        <v>4.199650859</v>
      </c>
      <c r="Q72" s="8">
        <f>IFERROR(__xludf.DUMMYFUNCTION("IF('Original Data'!Q72=""-"",""-"",
IF($D72=""Euro"",'Original Data'!Q72,
IF($D72=""Dolar"",'Original Data'!Q72*GOOGLEFINANCE(""Currency:USDEUR""),
IF($D72=""Franco Suíço"",'Original Data'!Q72*GOOGLEFINANCE(""Currency:CHFEUR""),
IF($D72=""Libra Esterlina"&amp;""", 'Original Data'!Q72*GOOGLEFINANCE(""Currency:GBPEUR""),
IF($D72=""Iene"",'Original Data'!Q72*GOOGLEFINANCE(""Currency:JPYEUR""),
IF($D72=""HKD"",'Original Data'!Q72*GOOGLEFINANCE(""Currency:HKDEUR""),
IF($D72=""KRW"",'Original Data'!Q72*GOOGLEFINANCE("&amp;"""Currency:KRWEUR""),""""))))))))"),0.8908883274312)</f>
        <v>0.8908883274</v>
      </c>
      <c r="R72" s="8">
        <f>IFERROR(__xludf.DUMMYFUNCTION("IF('Original Data'!R72=""-"",""-"",
IF($D72=""Euro"",'Original Data'!R72,
IF($D72=""Dolar"",'Original Data'!R72*GOOGLEFINANCE(""Currency:USDEUR""),
IF($D72=""Franco Suíço"",'Original Data'!R72*GOOGLEFINANCE(""Currency:CHFEUR""),
IF($D72=""Libra Esterlina"&amp;""", 'Original Data'!R72*GOOGLEFINANCE(""Currency:GBPEUR""),
IF($D72=""Iene"",'Original Data'!R72*GOOGLEFINANCE(""Currency:JPYEUR""),
IF($D72=""HKD"",'Original Data'!R72*GOOGLEFINANCE(""Currency:HKDEUR""),
IF($D72=""KRW"",'Original Data'!R72*GOOGLEFINANCE("&amp;"""Currency:KRWEUR""),""""))))))))"),1.3801851147924)</f>
        <v>1.380185115</v>
      </c>
      <c r="S72" s="8">
        <f>IFERROR(__xludf.DUMMYFUNCTION("IF('Original Data'!S72=""-"",""-"",
IF($D72=""Euro"",'Original Data'!S72,
IF($D72=""Dolar"",'Original Data'!S72*GOOGLEFINANCE(""Currency:USDEUR""),
IF($D72=""Franco Suíço"",'Original Data'!S72*GOOGLEFINANCE(""Currency:CHFEUR""),
IF($D72=""Libra Esterlina"&amp;""", 'Original Data'!S72*GOOGLEFINANCE(""Currency:GBPEUR""),
IF($D72=""Iene"",'Original Data'!S72*GOOGLEFINANCE(""Currency:JPYEUR""),
IF($D72=""HKD"",'Original Data'!S72*GOOGLEFINANCE(""Currency:HKDEUR""),
IF($D72=""KRW"",'Original Data'!S72*GOOGLEFINANCE("&amp;"""Currency:KRWEUR""),""""))))))))"),1.4506541704368)</f>
        <v>1.45065417</v>
      </c>
      <c r="T72" s="8">
        <f>IFERROR(__xludf.DUMMYFUNCTION("IF('Original Data'!T72=""-"",""-"",
IF($D72=""Euro"",'Original Data'!T72,
IF($D72=""Dolar"",'Original Data'!T72*GOOGLEFINANCE(""Currency:USDEUR""),
IF($D72=""Franco Suíço"",'Original Data'!T72*GOOGLEFINANCE(""Currency:CHFEUR""),
IF($D72=""Libra Esterlina"&amp;""", 'Original Data'!T72*GOOGLEFINANCE(""Currency:GBPEUR""),
IF($D72=""Iene"",'Original Data'!T72*GOOGLEFINANCE(""Currency:JPYEUR""),
IF($D72=""HKD"",'Original Data'!T72*GOOGLEFINANCE(""Currency:HKDEUR""),
IF($D72=""KRW"",'Original Data'!T72*GOOGLEFINANCE("&amp;"""Currency:KRWEUR""),""""))))))))"),1.2547244000844)</f>
        <v>1.2547244</v>
      </c>
      <c r="U72" s="8">
        <f>IFERROR(__xludf.DUMMYFUNCTION("IF('Original Data'!U72=""-"",""-"",
IF($D72=""Euro"",'Original Data'!U72,
IF($D72=""Dolar"",'Original Data'!U72*GOOGLEFINANCE(""Currency:USDEUR""),
IF($D72=""Franco Suíço"",'Original Data'!U72*GOOGLEFINANCE(""Currency:CHFEUR""),
IF($D72=""Libra Esterlina"&amp;""", 'Original Data'!U72*GOOGLEFINANCE(""Currency:GBPEUR""),
IF($D72=""Iene"",'Original Data'!U72*GOOGLEFINANCE(""Currency:JPYEUR""),
IF($D72=""HKD"",'Original Data'!U72*GOOGLEFINANCE(""Currency:HKDEUR""),
IF($D72=""KRW"",'Original Data'!U72*GOOGLEFINANCE("&amp;"""Currency:KRWEUR""),""""))))))))"),-0.2152765160784)</f>
        <v>-0.2152765161</v>
      </c>
      <c r="V72" s="8">
        <f>IFERROR(__xludf.DUMMYFUNCTION("IF('Original Data'!V72=""-"",""-"",
IF($D72=""Euro"",'Original Data'!V72,
IF($D72=""Dolar"",'Original Data'!V72*GOOGLEFINANCE(""Currency:USDEUR""),
IF($D72=""Franco Suíço"",'Original Data'!V72*GOOGLEFINANCE(""Currency:CHFEUR""),
IF($D72=""Libra Esterlina"&amp;""", 'Original Data'!V72*GOOGLEFINANCE(""Currency:GBPEUR""),
IF($D72=""Iene"",'Original Data'!V72*GOOGLEFINANCE(""Currency:JPYEUR""),
IF($D72=""HKD"",'Original Data'!V72*GOOGLEFINANCE(""Currency:HKDEUR""),
IF($D72=""KRW"",'Original Data'!V72*GOOGLEFINANCE("&amp;"""Currency:KRWEUR""),""""))))))))"),0.0877052472912)</f>
        <v>0.08770524729</v>
      </c>
      <c r="W72" s="7" t="s">
        <v>59</v>
      </c>
      <c r="X72" s="7" t="s">
        <v>59</v>
      </c>
      <c r="Y72" s="7" t="s">
        <v>41</v>
      </c>
      <c r="Z72" s="7" t="s">
        <v>59</v>
      </c>
      <c r="AA72" s="7" t="s">
        <v>41</v>
      </c>
      <c r="AB72" s="7" t="s">
        <v>41</v>
      </c>
      <c r="AC72" s="7">
        <v>21.0</v>
      </c>
      <c r="AD72" s="7">
        <v>2.2</v>
      </c>
      <c r="AE72" s="7">
        <v>9.8</v>
      </c>
      <c r="AF72" s="7">
        <v>8.6</v>
      </c>
      <c r="AG72" s="7">
        <v>3.0</v>
      </c>
    </row>
    <row r="73">
      <c r="A73" s="16" t="s">
        <v>260</v>
      </c>
      <c r="B73" s="16" t="s">
        <v>261</v>
      </c>
      <c r="C73" s="16" t="s">
        <v>262</v>
      </c>
      <c r="D73" s="7" t="s">
        <v>33</v>
      </c>
      <c r="E73" s="8">
        <f>IFERROR(__xludf.DUMMYFUNCTION("IF($D73=""Euro"",'Original Data'!E73,
IF($D73=""Dolar"",'Original Data'!E73*GOOGLEFINANCE(""Currency:USDEUR""),
IF($D73=""Franco Suíço"",'Original Data'!E73*GOOGLEFINANCE(""Currency:CHFEUR""),
IF($D73=""Libra Esterlina"", 'Original Data'!E73*GOOGLEFINANCE"&amp;"(""Currency:GBPEUR""),
IF($D73=""Iene"",'Original Data'!E73*GOOGLEFINANCE(""Currency:JPYEUR""),
IF($D73=""HKD"",'Original Data'!E73*GOOGLEFINANCE(""Currency:HKDEUR""),
IF($D73=""KRW"",'Original Data'!E73*GOOGLEFINANCE(""Currency:KRWEUR""),"""")))))))"),29.5119)</f>
        <v>29.5119</v>
      </c>
      <c r="F73" s="8">
        <f>IFERROR(__xludf.DUMMYFUNCTION("IF($D73=""Euro"",'Original Data'!F73,
IF($D73=""Dolar"",'Original Data'!F73*GOOGLEFINANCE(""Currency:USDEUR""),
IF($D73=""Franco Suíço"",'Original Data'!F73*GOOGLEFINANCE(""Currency:CHFEUR""),
IF($D73=""Libra Esterlina"", 'Original Data'!F73*GOOGLEFINANCE"&amp;"(""Currency:GBPEUR""),
IF($D73=""Iene"",'Original Data'!F73*GOOGLEFINANCE(""Currency:JPYEUR""),
IF($D73=""HKD"",'Original Data'!F73*GOOGLEFINANCE(""Currency:HKDEUR""),
IF($D73=""KRW"",'Original Data'!F73*GOOGLEFINANCE(""Currency:KRWEUR""),"""")))))))"),4.245)</f>
        <v>4.245</v>
      </c>
      <c r="G73" s="8">
        <f>IFERROR(__xludf.DUMMYFUNCTION("IF($D73=""Euro"",'Original Data'!G73,
IF($D73=""Dolar"",'Original Data'!G73*GOOGLEFINANCE(""Currency:USDEUR""),
IF($D73=""Franco Suíço"",'Original Data'!G73*GOOGLEFINANCE(""Currency:CHFEUR""),
IF($D73=""Libra Esterlina"", 'Original Data'!G73*GOOGLEFINANCE"&amp;"(""Currency:GBPEUR""),
IF($D73=""Iene"",'Original Data'!G73*GOOGLEFINANCE(""Currency:JPYEUR""),
IF($D73=""HKD"",'Original Data'!G73*GOOGLEFINANCE(""Currency:HKDEUR""),
IF($D73=""KRW"",'Original Data'!G73*GOOGLEFINANCE(""Currency:KRWEUR""),"""")))))))"),24.223)</f>
        <v>24.223</v>
      </c>
      <c r="H73" s="17">
        <v>18.955</v>
      </c>
      <c r="I73" s="7">
        <v>3.06</v>
      </c>
      <c r="J73" s="9">
        <v>0.0707</v>
      </c>
      <c r="K73" s="9">
        <v>0.0571</v>
      </c>
      <c r="L73" s="9">
        <v>0.038</v>
      </c>
      <c r="M73" s="9">
        <v>0.1902</v>
      </c>
      <c r="N73" s="8">
        <f>IFERROR(__xludf.DUMMYFUNCTION("IF('Original Data'!N73=""-"",""-"",
IF($D73=""Euro"",'Original Data'!N73,
IF($D73=""Dolar"",'Original Data'!N73*GOOGLEFINANCE(""Currency:USDEUR""),
IF($D73=""Franco Suíço"",'Original Data'!N73*GOOGLEFINANCE(""Currency:CHFEUR""),
IF($D73=""Libra Esterlina"&amp;""", 'Original Data'!N73*GOOGLEFINANCE(""Currency:GBPEUR""),
IF($D73=""Iene"",'Original Data'!N73*GOOGLEFINANCE(""Currency:JPYEUR""),
IF($D73=""HKD"",'Original Data'!N73*GOOGLEFINANCE(""Currency:HKDEUR""),
IF($D73=""KRW"",'Original Data'!N73*GOOGLEFINANCE("&amp;"""Currency:KRWEUR""),""""))))))))"),1.38)</f>
        <v>1.38</v>
      </c>
      <c r="O73" s="8">
        <f>IFERROR(__xludf.DUMMYFUNCTION("IF('Original Data'!O73=""-"",""-"",
IF($D73=""Euro"",'Original Data'!O73,
IF($D73=""Dolar"",'Original Data'!O73*GOOGLEFINANCE(""Currency:USDEUR""),
IF($D73=""Franco Suíço"",'Original Data'!O73*GOOGLEFINANCE(""Currency:CHFEUR""),
IF($D73=""Libra Esterlina"&amp;""", 'Original Data'!O73*GOOGLEFINANCE(""Currency:GBPEUR""),
IF($D73=""Iene"",'Original Data'!O73*GOOGLEFINANCE(""Currency:JPYEUR""),
IF($D73=""HKD"",'Original Data'!O73*GOOGLEFINANCE(""Currency:HKDEUR""),
IF($D73=""KRW"",'Original Data'!O73*GOOGLEFINANCE("&amp;"""Currency:KRWEUR""),""""))))))))"),48.69)</f>
        <v>48.69</v>
      </c>
      <c r="P73" s="8">
        <f>IFERROR(__xludf.DUMMYFUNCTION("IF('Original Data'!P73=""-"",""-"",
IF($D73=""Euro"",'Original Data'!P73,
IF($D73=""Dolar"",'Original Data'!P73*GOOGLEFINANCE(""Currency:USDEUR""),
IF($D73=""Franco Suíço"",'Original Data'!P73*GOOGLEFINANCE(""Currency:CHFEUR""),
IF($D73=""Libra Esterlina"&amp;""", 'Original Data'!P73*GOOGLEFINANCE(""Currency:GBPEUR""),
IF($D73=""Iene"",'Original Data'!P73*GOOGLEFINANCE(""Currency:JPYEUR""),
IF($D73=""HKD"",'Original Data'!P73*GOOGLEFINANCE(""Currency:HKDEUR""),
IF($D73=""KRW"",'Original Data'!P73*GOOGLEFINANCE("&amp;"""Currency:KRWEUR""),""""))))))))"),48.42)</f>
        <v>48.42</v>
      </c>
      <c r="Q73" s="8">
        <f>IFERROR(__xludf.DUMMYFUNCTION("IF('Original Data'!Q73=""-"",""-"",
IF($D73=""Euro"",'Original Data'!Q73,
IF($D73=""Dolar"",'Original Data'!Q73*GOOGLEFINANCE(""Currency:USDEUR""),
IF($D73=""Franco Suíço"",'Original Data'!Q73*GOOGLEFINANCE(""Currency:CHFEUR""),
IF($D73=""Libra Esterlina"&amp;""", 'Original Data'!Q73*GOOGLEFINANCE(""Currency:GBPEUR""),
IF($D73=""Iene"",'Original Data'!Q73*GOOGLEFINANCE(""Currency:JPYEUR""),
IF($D73=""HKD"",'Original Data'!Q73*GOOGLEFINANCE(""Currency:HKDEUR""),
IF($D73=""KRW"",'Original Data'!Q73*GOOGLEFINANCE("&amp;"""Currency:KRWEUR""),""""))))))))"),43.08)</f>
        <v>43.08</v>
      </c>
      <c r="R73" s="8">
        <f>IFERROR(__xludf.DUMMYFUNCTION("IF('Original Data'!R73=""-"",""-"",
IF($D73=""Euro"",'Original Data'!R73,
IF($D73=""Dolar"",'Original Data'!R73*GOOGLEFINANCE(""Currency:USDEUR""),
IF($D73=""Franco Suíço"",'Original Data'!R73*GOOGLEFINANCE(""Currency:CHFEUR""),
IF($D73=""Libra Esterlina"&amp;""", 'Original Data'!R73*GOOGLEFINANCE(""Currency:GBPEUR""),
IF($D73=""Iene"",'Original Data'!R73*GOOGLEFINANCE(""Currency:JPYEUR""),
IF($D73=""HKD"",'Original Data'!R73*GOOGLEFINANCE(""Currency:HKDEUR""),
IF($D73=""KRW"",'Original Data'!R73*GOOGLEFINANCE("&amp;"""Currency:KRWEUR""),""""))))))))"),39.28)</f>
        <v>39.28</v>
      </c>
      <c r="S73" s="8">
        <f>IFERROR(__xludf.DUMMYFUNCTION("IF('Original Data'!S73=""-"",""-"",
IF($D73=""Euro"",'Original Data'!S73,
IF($D73=""Dolar"",'Original Data'!S73*GOOGLEFINANCE(""Currency:USDEUR""),
IF($D73=""Franco Suíço"",'Original Data'!S73*GOOGLEFINANCE(""Currency:CHFEUR""),
IF($D73=""Libra Esterlina"&amp;""", 'Original Data'!S73*GOOGLEFINANCE(""Currency:GBPEUR""),
IF($D73=""Iene"",'Original Data'!S73*GOOGLEFINANCE(""Currency:JPYEUR""),
IF($D73=""HKD"",'Original Data'!S73*GOOGLEFINANCE(""Currency:HKDEUR""),
IF($D73=""KRW"",'Original Data'!S73*GOOGLEFINANCE("&amp;"""Currency:KRWEUR""),""""))))))))"),15.85)</f>
        <v>15.85</v>
      </c>
      <c r="T73" s="8">
        <f>IFERROR(__xludf.DUMMYFUNCTION("IF('Original Data'!T73=""-"",""-"",
IF($D73=""Euro"",'Original Data'!T73,
IF($D73=""Dolar"",'Original Data'!T73*GOOGLEFINANCE(""Currency:USDEUR""),
IF($D73=""Franco Suíço"",'Original Data'!T73*GOOGLEFINANCE(""Currency:CHFEUR""),
IF($D73=""Libra Esterlina"&amp;""", 'Original Data'!T73*GOOGLEFINANCE(""Currency:GBPEUR""),
IF($D73=""Iene"",'Original Data'!T73*GOOGLEFINANCE(""Currency:JPYEUR""),
IF($D73=""HKD"",'Original Data'!T73*GOOGLEFINANCE(""Currency:HKDEUR""),
IF($D73=""KRW"",'Original Data'!T73*GOOGLEFINANCE("&amp;"""Currency:KRWEUR""),""""))))))))"),15.92)</f>
        <v>15.92</v>
      </c>
      <c r="U73" s="8">
        <f>IFERROR(__xludf.DUMMYFUNCTION("IF('Original Data'!U73=""-"",""-"",
IF($D73=""Euro"",'Original Data'!U73,
IF($D73=""Dolar"",'Original Data'!U73*GOOGLEFINANCE(""Currency:USDEUR""),
IF($D73=""Franco Suíço"",'Original Data'!U73*GOOGLEFINANCE(""Currency:CHFEUR""),
IF($D73=""Libra Esterlina"&amp;""", 'Original Data'!U73*GOOGLEFINANCE(""Currency:GBPEUR""),
IF($D73=""Iene"",'Original Data'!U73*GOOGLEFINANCE(""Currency:JPYEUR""),
IF($D73=""HKD"",'Original Data'!U73*GOOGLEFINANCE(""Currency:HKDEUR""),
IF($D73=""KRW"",'Original Data'!U73*GOOGLEFINANCE("&amp;"""Currency:KRWEUR""),""""))))))))"),15.92)</f>
        <v>15.92</v>
      </c>
      <c r="V73" s="8">
        <f>IFERROR(__xludf.DUMMYFUNCTION("IF('Original Data'!V73=""-"",""-"",
IF($D73=""Euro"",'Original Data'!V73,
IF($D73=""Dolar"",'Original Data'!V73*GOOGLEFINANCE(""Currency:USDEUR""),
IF($D73=""Franco Suíço"",'Original Data'!V73*GOOGLEFINANCE(""Currency:CHFEUR""),
IF($D73=""Libra Esterlina"&amp;""", 'Original Data'!V73*GOOGLEFINANCE(""Currency:GBPEUR""),
IF($D73=""Iene"",'Original Data'!V73*GOOGLEFINANCE(""Currency:JPYEUR""),
IF($D73=""HKD"",'Original Data'!V73*GOOGLEFINANCE(""Currency:HKDEUR""),
IF($D73=""KRW"",'Original Data'!V73*GOOGLEFINANCE("&amp;"""Currency:KRWEUR""),""""))))))))"),12.39)</f>
        <v>12.39</v>
      </c>
      <c r="W73" s="7" t="s">
        <v>34</v>
      </c>
      <c r="X73" s="7" t="s">
        <v>34</v>
      </c>
      <c r="Y73" s="7" t="s">
        <v>41</v>
      </c>
      <c r="Z73" s="7" t="s">
        <v>41</v>
      </c>
      <c r="AA73" s="7" t="s">
        <v>41</v>
      </c>
      <c r="AB73" s="7" t="s">
        <v>41</v>
      </c>
      <c r="AC73" s="7">
        <v>17.0</v>
      </c>
      <c r="AD73" s="7">
        <v>1.6</v>
      </c>
      <c r="AE73" s="7">
        <v>9.2</v>
      </c>
      <c r="AF73" s="7">
        <v>6.6</v>
      </c>
      <c r="AG73" s="7">
        <v>2.0</v>
      </c>
    </row>
    <row r="74">
      <c r="A74" s="16" t="s">
        <v>263</v>
      </c>
      <c r="B74" s="16" t="s">
        <v>264</v>
      </c>
      <c r="C74" s="16" t="s">
        <v>265</v>
      </c>
      <c r="D74" s="7" t="s">
        <v>33</v>
      </c>
      <c r="E74" s="8">
        <f>IFERROR(__xludf.DUMMYFUNCTION("IF($D74=""Euro"",'Original Data'!E74,
IF($D74=""Dolar"",'Original Data'!E74*GOOGLEFINANCE(""Currency:USDEUR""),
IF($D74=""Franco Suíço"",'Original Data'!E74*GOOGLEFINANCE(""Currency:CHFEUR""),
IF($D74=""Libra Esterlina"", 'Original Data'!E74*GOOGLEFINANCE"&amp;"(""Currency:GBPEUR""),
IF($D74=""Iene"",'Original Data'!E74*GOOGLEFINANCE(""Currency:JPYEUR""),
IF($D74=""HKD"",'Original Data'!E74*GOOGLEFINANCE(""Currency:HKDEUR""),
IF($D74=""KRW"",'Original Data'!E74*GOOGLEFINANCE(""Currency:KRWEUR""),"""")))))))"),10.45)</f>
        <v>10.45</v>
      </c>
      <c r="F74" s="8">
        <f>IFERROR(__xludf.DUMMYFUNCTION("IF($D74=""Euro"",'Original Data'!F74,
IF($D74=""Dolar"",'Original Data'!F74*GOOGLEFINANCE(""Currency:USDEUR""),
IF($D74=""Franco Suíço"",'Original Data'!F74*GOOGLEFINANCE(""Currency:CHFEUR""),
IF($D74=""Libra Esterlina"", 'Original Data'!F74*GOOGLEFINANCE"&amp;"(""Currency:GBPEUR""),
IF($D74=""Iene"",'Original Data'!F74*GOOGLEFINANCE(""Currency:JPYEUR""),
IF($D74=""HKD"",'Original Data'!F74*GOOGLEFINANCE(""Currency:HKDEUR""),
IF($D74=""KRW"",'Original Data'!F74*GOOGLEFINANCE(""Currency:KRWEUR""),"""")))))))"),10.05)</f>
        <v>10.05</v>
      </c>
      <c r="G74" s="8">
        <f>IFERROR(__xludf.DUMMYFUNCTION("IF($D74=""Euro"",'Original Data'!G74,
IF($D74=""Dolar"",'Original Data'!G74*GOOGLEFINANCE(""Currency:USDEUR""),
IF($D74=""Franco Suíço"",'Original Data'!G74*GOOGLEFINANCE(""Currency:CHFEUR""),
IF($D74=""Libra Esterlina"", 'Original Data'!G74*GOOGLEFINANCE"&amp;"(""Currency:GBPEUR""),
IF($D74=""Iene"",'Original Data'!G74*GOOGLEFINANCE(""Currency:JPYEUR""),
IF($D74=""HKD"",'Original Data'!G74*GOOGLEFINANCE(""Currency:HKDEUR""),
IF($D74=""KRW"",'Original Data'!G74*GOOGLEFINANCE(""Currency:KRWEUR""),"""")))))))"),1.035)</f>
        <v>1.035</v>
      </c>
      <c r="H74" s="17">
        <v>0.77326</v>
      </c>
      <c r="I74" s="7">
        <v>14.55</v>
      </c>
      <c r="J74" s="7" t="s">
        <v>51</v>
      </c>
      <c r="K74" s="9">
        <v>-0.0352</v>
      </c>
      <c r="L74" s="9">
        <v>-0.0257</v>
      </c>
      <c r="M74" s="9">
        <v>-0.0655</v>
      </c>
      <c r="N74" s="8">
        <f>IFERROR(__xludf.DUMMYFUNCTION("IF('Original Data'!N74=""-"",""-"",
IF($D74=""Euro"",'Original Data'!N74,
IF($D74=""Dolar"",'Original Data'!N74*GOOGLEFINANCE(""Currency:USDEUR""),
IF($D74=""Franco Suíço"",'Original Data'!N74*GOOGLEFINANCE(""Currency:CHFEUR""),
IF($D74=""Libra Esterlina"&amp;""", 'Original Data'!N74*GOOGLEFINANCE(""Currency:GBPEUR""),
IF($D74=""Iene"",'Original Data'!N74*GOOGLEFINANCE(""Currency:JPYEUR""),
IF($D74=""HKD"",'Original Data'!N74*GOOGLEFINANCE(""Currency:HKDEUR""),
IF($D74=""KRW"",'Original Data'!N74*GOOGLEFINANCE("&amp;"""Currency:KRWEUR""),""""))))))))"),0.59)</f>
        <v>0.59</v>
      </c>
      <c r="O74" s="8">
        <f>IFERROR(__xludf.DUMMYFUNCTION("IF('Original Data'!O74=""-"",""-"",
IF($D74=""Euro"",'Original Data'!O74,
IF($D74=""Dolar"",'Original Data'!O74*GOOGLEFINANCE(""Currency:USDEUR""),
IF($D74=""Franco Suíço"",'Original Data'!O74*GOOGLEFINANCE(""Currency:CHFEUR""),
IF($D74=""Libra Esterlina"&amp;""", 'Original Data'!O74*GOOGLEFINANCE(""Currency:GBPEUR""),
IF($D74=""Iene"",'Original Data'!O74*GOOGLEFINANCE(""Currency:JPYEUR""),
IF($D74=""HKD"",'Original Data'!O74*GOOGLEFINANCE(""Currency:HKDEUR""),
IF($D74=""KRW"",'Original Data'!O74*GOOGLEFINANCE("&amp;"""Currency:KRWEUR""),""""))))))))"),1.55)</f>
        <v>1.55</v>
      </c>
      <c r="P74" s="8">
        <f>IFERROR(__xludf.DUMMYFUNCTION("IF('Original Data'!P74=""-"",""-"",
IF($D74=""Euro"",'Original Data'!P74,
IF($D74=""Dolar"",'Original Data'!P74*GOOGLEFINANCE(""Currency:USDEUR""),
IF($D74=""Franco Suíço"",'Original Data'!P74*GOOGLEFINANCE(""Currency:CHFEUR""),
IF($D74=""Libra Esterlina"&amp;""", 'Original Data'!P74*GOOGLEFINANCE(""Currency:GBPEUR""),
IF($D74=""Iene"",'Original Data'!P74*GOOGLEFINANCE(""Currency:JPYEUR""),
IF($D74=""HKD"",'Original Data'!P74*GOOGLEFINANCE(""Currency:HKDEUR""),
IF($D74=""KRW"",'Original Data'!P74*GOOGLEFINANCE("&amp;"""Currency:KRWEUR""),""""))))))))"),1.63)</f>
        <v>1.63</v>
      </c>
      <c r="Q74" s="8">
        <f>IFERROR(__xludf.DUMMYFUNCTION("IF('Original Data'!Q74=""-"",""-"",
IF($D74=""Euro"",'Original Data'!Q74,
IF($D74=""Dolar"",'Original Data'!Q74*GOOGLEFINANCE(""Currency:USDEUR""),
IF($D74=""Franco Suíço"",'Original Data'!Q74*GOOGLEFINANCE(""Currency:CHFEUR""),
IF($D74=""Libra Esterlina"&amp;""", 'Original Data'!Q74*GOOGLEFINANCE(""Currency:GBPEUR""),
IF($D74=""Iene"",'Original Data'!Q74*GOOGLEFINANCE(""Currency:JPYEUR""),
IF($D74=""HKD"",'Original Data'!Q74*GOOGLEFINANCE(""Currency:HKDEUR""),
IF($D74=""KRW"",'Original Data'!Q74*GOOGLEFINANCE("&amp;"""Currency:KRWEUR""),""""))))))))"),1.39)</f>
        <v>1.39</v>
      </c>
      <c r="R74" s="8">
        <f>IFERROR(__xludf.DUMMYFUNCTION("IF('Original Data'!R74=""-"",""-"",
IF($D74=""Euro"",'Original Data'!R74,
IF($D74=""Dolar"",'Original Data'!R74*GOOGLEFINANCE(""Currency:USDEUR""),
IF($D74=""Franco Suíço"",'Original Data'!R74*GOOGLEFINANCE(""Currency:CHFEUR""),
IF($D74=""Libra Esterlina"&amp;""", 'Original Data'!R74*GOOGLEFINANCE(""Currency:GBPEUR""),
IF($D74=""Iene"",'Original Data'!R74*GOOGLEFINANCE(""Currency:JPYEUR""),
IF($D74=""HKD"",'Original Data'!R74*GOOGLEFINANCE(""Currency:HKDEUR""),
IF($D74=""KRW"",'Original Data'!R74*GOOGLEFINANCE("&amp;"""Currency:KRWEUR""),""""))))))))"),1.46)</f>
        <v>1.46</v>
      </c>
      <c r="S74" s="8">
        <f>IFERROR(__xludf.DUMMYFUNCTION("IF('Original Data'!S74=""-"",""-"",
IF($D74=""Euro"",'Original Data'!S74,
IF($D74=""Dolar"",'Original Data'!S74*GOOGLEFINANCE(""Currency:USDEUR""),
IF($D74=""Franco Suíço"",'Original Data'!S74*GOOGLEFINANCE(""Currency:CHFEUR""),
IF($D74=""Libra Esterlina"&amp;""", 'Original Data'!S74*GOOGLEFINANCE(""Currency:GBPEUR""),
IF($D74=""Iene"",'Original Data'!S74*GOOGLEFINANCE(""Currency:JPYEUR""),
IF($D74=""HKD"",'Original Data'!S74*GOOGLEFINANCE(""Currency:HKDEUR""),
IF($D74=""KRW"",'Original Data'!S74*GOOGLEFINANCE("&amp;"""Currency:KRWEUR""),""""))))))))"),0.10834)</f>
        <v>0.10834</v>
      </c>
      <c r="T74" s="8">
        <f>IFERROR(__xludf.DUMMYFUNCTION("IF('Original Data'!T74=""-"",""-"",
IF($D74=""Euro"",'Original Data'!T74,
IF($D74=""Dolar"",'Original Data'!T74*GOOGLEFINANCE(""Currency:USDEUR""),
IF($D74=""Franco Suíço"",'Original Data'!T74*GOOGLEFINANCE(""Currency:CHFEUR""),
IF($D74=""Libra Esterlina"&amp;""", 'Original Data'!T74*GOOGLEFINANCE(""Currency:GBPEUR""),
IF($D74=""Iene"",'Original Data'!T74*GOOGLEFINANCE(""Currency:JPYEUR""),
IF($D74=""HKD"",'Original Data'!T74*GOOGLEFINANCE(""Currency:HKDEUR""),
IF($D74=""KRW"",'Original Data'!T74*GOOGLEFINANCE("&amp;"""Currency:KRWEUR""),""""))))))))"),0.16743)</f>
        <v>0.16743</v>
      </c>
      <c r="U74" s="8">
        <f>IFERROR(__xludf.DUMMYFUNCTION("IF('Original Data'!U74=""-"",""-"",
IF($D74=""Euro"",'Original Data'!U74,
IF($D74=""Dolar"",'Original Data'!U74*GOOGLEFINANCE(""Currency:USDEUR""),
IF($D74=""Franco Suíço"",'Original Data'!U74*GOOGLEFINANCE(""Currency:CHFEUR""),
IF($D74=""Libra Esterlina"&amp;""", 'Original Data'!U74*GOOGLEFINANCE(""Currency:GBPEUR""),
IF($D74=""Iene"",'Original Data'!U74*GOOGLEFINANCE(""Currency:JPYEUR""),
IF($D74=""HKD"",'Original Data'!U74*GOOGLEFINANCE(""Currency:HKDEUR""),
IF($D74=""KRW"",'Original Data'!U74*GOOGLEFINANCE("&amp;"""Currency:KRWEUR""),""""))))))))"),0.12373)</f>
        <v>0.12373</v>
      </c>
      <c r="V74" s="8">
        <f>IFERROR(__xludf.DUMMYFUNCTION("IF('Original Data'!V74=""-"",""-"",
IF($D74=""Euro"",'Original Data'!V74,
IF($D74=""Dolar"",'Original Data'!V74*GOOGLEFINANCE(""Currency:USDEUR""),
IF($D74=""Franco Suíço"",'Original Data'!V74*GOOGLEFINANCE(""Currency:CHFEUR""),
IF($D74=""Libra Esterlina"&amp;""", 'Original Data'!V74*GOOGLEFINANCE(""Currency:GBPEUR""),
IF($D74=""Iene"",'Original Data'!V74*GOOGLEFINANCE(""Currency:JPYEUR""),
IF($D74=""HKD"",'Original Data'!V74*GOOGLEFINANCE(""Currency:HKDEUR""),
IF($D74=""KRW"",'Original Data'!V74*GOOGLEFINANCE("&amp;"""Currency:KRWEUR""),""""))))))))"),0.15536)</f>
        <v>0.15536</v>
      </c>
      <c r="W74" s="7" t="s">
        <v>52</v>
      </c>
      <c r="X74" s="7" t="s">
        <v>266</v>
      </c>
      <c r="Y74" s="7" t="s">
        <v>41</v>
      </c>
      <c r="Z74" s="7" t="s">
        <v>41</v>
      </c>
      <c r="AA74" s="7" t="s">
        <v>41</v>
      </c>
      <c r="AB74" s="7" t="s">
        <v>41</v>
      </c>
      <c r="AC74" s="7" t="s">
        <v>41</v>
      </c>
      <c r="AD74" s="7" t="s">
        <v>41</v>
      </c>
      <c r="AE74" s="7" t="s">
        <v>41</v>
      </c>
      <c r="AF74" s="7" t="s">
        <v>41</v>
      </c>
      <c r="AG74" s="7" t="s">
        <v>41</v>
      </c>
    </row>
    <row r="75">
      <c r="A75" s="16" t="s">
        <v>267</v>
      </c>
      <c r="B75" s="16" t="s">
        <v>268</v>
      </c>
      <c r="C75" s="16" t="s">
        <v>269</v>
      </c>
      <c r="D75" s="7" t="s">
        <v>33</v>
      </c>
      <c r="E75" s="8">
        <f>IFERROR(__xludf.DUMMYFUNCTION("IF($D75=""Euro"",'Original Data'!E75,
IF($D75=""Dolar"",'Original Data'!E75*GOOGLEFINANCE(""Currency:USDEUR""),
IF($D75=""Franco Suíço"",'Original Data'!E75*GOOGLEFINANCE(""Currency:CHFEUR""),
IF($D75=""Libra Esterlina"", 'Original Data'!E75*GOOGLEFINANCE"&amp;"(""Currency:GBPEUR""),
IF($D75=""Iene"",'Original Data'!E75*GOOGLEFINANCE(""Currency:JPYEUR""),
IF($D75=""HKD"",'Original Data'!E75*GOOGLEFINANCE(""Currency:HKDEUR""),
IF($D75=""KRW"",'Original Data'!E75*GOOGLEFINANCE(""Currency:KRWEUR""),"""")))))))"),37.9)</f>
        <v>37.9</v>
      </c>
      <c r="F75" s="8">
        <f>IFERROR(__xludf.DUMMYFUNCTION("IF($D75=""Euro"",'Original Data'!F75,
IF($D75=""Dolar"",'Original Data'!F75*GOOGLEFINANCE(""Currency:USDEUR""),
IF($D75=""Franco Suíço"",'Original Data'!F75*GOOGLEFINANCE(""Currency:CHFEUR""),
IF($D75=""Libra Esterlina"", 'Original Data'!F75*GOOGLEFINANCE"&amp;"(""Currency:GBPEUR""),
IF($D75=""Iene"",'Original Data'!F75*GOOGLEFINANCE(""Currency:JPYEUR""),
IF($D75=""HKD"",'Original Data'!F75*GOOGLEFINANCE(""Currency:HKDEUR""),
IF($D75=""KRW"",'Original Data'!F75*GOOGLEFINANCE(""Currency:KRWEUR""),"""")))))))"),31.12)</f>
        <v>31.12</v>
      </c>
      <c r="G75" s="8">
        <f>IFERROR(__xludf.DUMMYFUNCTION("IF($D75=""Euro"",'Original Data'!G75,
IF($D75=""Dolar"",'Original Data'!G75*GOOGLEFINANCE(""Currency:USDEUR""),
IF($D75=""Franco Suíço"",'Original Data'!G75*GOOGLEFINANCE(""Currency:CHFEUR""),
IF($D75=""Libra Esterlina"", 'Original Data'!G75*GOOGLEFINANCE"&amp;"(""Currency:GBPEUR""),
IF($D75=""Iene"",'Original Data'!G75*GOOGLEFINANCE(""Currency:JPYEUR""),
IF($D75=""HKD"",'Original Data'!G75*GOOGLEFINANCE(""Currency:HKDEUR""),
IF($D75=""KRW"",'Original Data'!G75*GOOGLEFINANCE(""Currency:KRWEUR""),"""")))))))"),6.761)</f>
        <v>6.761</v>
      </c>
      <c r="H75" s="17">
        <v>0.413416</v>
      </c>
      <c r="I75" s="7">
        <v>13.13</v>
      </c>
      <c r="J75" s="7" t="s">
        <v>51</v>
      </c>
      <c r="K75" s="9">
        <v>0.0258</v>
      </c>
      <c r="L75" s="9">
        <v>0.0183</v>
      </c>
      <c r="M75" s="9">
        <v>-0.015</v>
      </c>
      <c r="N75" s="8">
        <f>IFERROR(__xludf.DUMMYFUNCTION("'Original Data'!N75*GOOGLEFINANCE(""Currency:USDEUR"")"),2.26993)</f>
        <v>2.26993</v>
      </c>
      <c r="O75" s="8">
        <f>IFERROR(__xludf.DUMMYFUNCTION("'Original Data'!O75*GOOGLEFINANCE(""Currency:USDEUR"")"),2.9895069999999997)</f>
        <v>2.989507</v>
      </c>
      <c r="P75" s="8">
        <f>IFERROR(__xludf.DUMMYFUNCTION("'Original Data'!P75*GOOGLEFINANCE(""Currency:USDEUR"")"),2.7864079999999998)</f>
        <v>2.786408</v>
      </c>
      <c r="Q75" s="8">
        <f>IFERROR(__xludf.DUMMYFUNCTION("'Original Data'!Q75*GOOGLEFINANCE(""Currency:USDEUR"")"),3.192606)</f>
        <v>3.192606</v>
      </c>
      <c r="R75" s="8">
        <f>IFERROR(__xludf.DUMMYFUNCTION("'Original Data'!R75*GOOGLEFINANCE(""Currency:USDEUR"")"),5.807161)</f>
        <v>5.807161</v>
      </c>
      <c r="S75" s="8">
        <f>IFERROR(__xludf.DUMMYFUNCTION("'Original Data'!S75*GOOGLEFINANCE(""Currency:USDEUR"")"),0.8537509999999999)</f>
        <v>0.853751</v>
      </c>
      <c r="T75" s="8">
        <f>IFERROR(__xludf.DUMMYFUNCTION("'Original Data'!T75*GOOGLEFINANCE(""Currency:USDEUR"")"),0.6874119999999999)</f>
        <v>0.687412</v>
      </c>
      <c r="U75" s="8">
        <f>IFERROR(__xludf.DUMMYFUNCTION("'Original Data'!U75*GOOGLEFINANCE(""Currency:USDEUR"")"),0.79953)</f>
        <v>0.79953</v>
      </c>
      <c r="V75" s="8">
        <f>IFERROR(__xludf.DUMMYFUNCTION("'Original Data'!V75*GOOGLEFINANCE(""Currency:USDEUR"")"),2.322313)</f>
        <v>2.322313</v>
      </c>
      <c r="W75" s="7" t="s">
        <v>41</v>
      </c>
      <c r="X75" s="7" t="s">
        <v>41</v>
      </c>
      <c r="Y75" s="7" t="s">
        <v>41</v>
      </c>
      <c r="Z75" s="7" t="s">
        <v>41</v>
      </c>
      <c r="AA75" s="7" t="s">
        <v>41</v>
      </c>
      <c r="AB75" s="7" t="s">
        <v>41</v>
      </c>
      <c r="AC75" s="7" t="s">
        <v>41</v>
      </c>
      <c r="AD75" s="7" t="s">
        <v>41</v>
      </c>
      <c r="AE75" s="7" t="s">
        <v>41</v>
      </c>
      <c r="AF75" s="7" t="s">
        <v>41</v>
      </c>
      <c r="AG75" s="7" t="s">
        <v>41</v>
      </c>
    </row>
    <row r="76">
      <c r="A76" s="16" t="s">
        <v>270</v>
      </c>
      <c r="B76" s="16" t="s">
        <v>271</v>
      </c>
      <c r="C76" s="16" t="s">
        <v>272</v>
      </c>
      <c r="D76" s="7" t="s">
        <v>146</v>
      </c>
      <c r="E76" s="8">
        <f>IFERROR(__xludf.DUMMYFUNCTION("IF($D76=""Euro"",'Original Data'!E76,
IF($D76=""Dolar"",'Original Data'!E76*GOOGLEFINANCE(""Currency:USDEUR""),
IF($D76=""Franco Suíço"",'Original Data'!E76*GOOGLEFINANCE(""Currency:CHFEUR""),
IF($D76=""Libra Esterlina"", 'Original Data'!E76*GOOGLEFINANCE"&amp;"(""Currency:GBPEUR""),
IF($D76=""Iene"",'Original Data'!E76*GOOGLEFINANCE(""Currency:JPYEUR""),
IF($D76=""HKD"",'Original Data'!E76*GOOGLEFINANCE(""Currency:HKDEUR""),
IF($D76=""KRW"",'Original Data'!E76*GOOGLEFINANCE(""Currency:KRWEUR""),"""")))))))"),24.310641515999997)</f>
        <v>24.31064152</v>
      </c>
      <c r="F76" s="8">
        <f>IFERROR(__xludf.DUMMYFUNCTION("IF($D76=""Euro"",'Original Data'!F76,
IF($D76=""Dolar"",'Original Data'!F76*GOOGLEFINANCE(""Currency:USDEUR""),
IF($D76=""Franco Suíço"",'Original Data'!F76*GOOGLEFINANCE(""Currency:CHFEUR""),
IF($D76=""Libra Esterlina"", 'Original Data'!F76*GOOGLEFINANCE"&amp;"(""Currency:GBPEUR""),
IF($D76=""Iene"",'Original Data'!F76*GOOGLEFINANCE(""Currency:JPYEUR""),
IF($D76=""HKD"",'Original Data'!F76*GOOGLEFINANCE(""Currency:HKDEUR""),
IF($D76=""KRW"",'Original Data'!F76*GOOGLEFINANCE(""Currency:KRWEUR""),"""")))))))"),37.97055380685)</f>
        <v>37.97055381</v>
      </c>
      <c r="G76" s="8">
        <f>IFERROR(__xludf.DUMMYFUNCTION("IF($D76=""Euro"",'Original Data'!G76,
IF($D76=""Dolar"",'Original Data'!G76*GOOGLEFINANCE(""Currency:USDEUR""),
IF($D76=""Franco Suíço"",'Original Data'!G76*GOOGLEFINANCE(""Currency:CHFEUR""),
IF($D76=""Libra Esterlina"", 'Original Data'!G76*GOOGLEFINANCE"&amp;"(""Currency:GBPEUR""),
IF($D76=""Iene"",'Original Data'!G76*GOOGLEFINANCE(""Currency:JPYEUR""),
IF($D76=""HKD"",'Original Data'!G76*GOOGLEFINANCE(""Currency:HKDEUR""),
IF($D76=""KRW"",'Original Data'!G76*GOOGLEFINANCE(""Currency:KRWEUR""),"""")))))))"),9.442608930299999)</f>
        <v>9.44260893</v>
      </c>
      <c r="H76" s="17">
        <v>1.43</v>
      </c>
      <c r="I76" s="7" t="s">
        <v>41</v>
      </c>
      <c r="J76" s="9">
        <v>0.0191</v>
      </c>
      <c r="K76" s="9">
        <v>0.0143</v>
      </c>
      <c r="L76" s="9">
        <v>0.0113</v>
      </c>
      <c r="M76" s="9">
        <v>0.032</v>
      </c>
      <c r="N76" s="8">
        <f>IFERROR(__xludf.DUMMYFUNCTION("IF('Original Data'!N76=""-"",""-"",
IF($D76=""Euro"",'Original Data'!N76,
IF($D76=""Dolar"",'Original Data'!N76*GOOGLEFINANCE(""Currency:USDEUR""),
IF($D76=""Franco Suíço"",'Original Data'!N76*GOOGLEFINANCE(""Currency:CHFEUR""),
IF($D76=""Libra Esterlina"&amp;""", 'Original Data'!N76*GOOGLEFINANCE(""Currency:GBPEUR""),
IF($D76=""Iene"",'Original Data'!N76*GOOGLEFINANCE(""Currency:JPYEUR""),
IF($D76=""HKD"",'Original Data'!N76*GOOGLEFINANCE(""Currency:HKDEUR""),
IF($D76=""KRW"",'Original Data'!N76*GOOGLEFINANCE("&amp;"""Currency:KRWEUR""),""""))))))))"),-9.0402233425245)</f>
        <v>-9.040223343</v>
      </c>
      <c r="O76" s="8">
        <f>IFERROR(__xludf.DUMMYFUNCTION("IF('Original Data'!O76=""-"",""-"",
IF($D76=""Euro"",'Original Data'!O76,
IF($D76=""Dolar"",'Original Data'!O76*GOOGLEFINANCE(""Currency:USDEUR""),
IF($D76=""Franco Suíço"",'Original Data'!O76*GOOGLEFINANCE(""Currency:CHFEUR""),
IF($D76=""Libra Esterlina"&amp;""", 'Original Data'!O76*GOOGLEFINANCE(""Currency:GBPEUR""),
IF($D76=""Iene"",'Original Data'!O76*GOOGLEFINANCE(""Currency:JPYEUR""),
IF($D76=""HKD"",'Original Data'!O76*GOOGLEFINANCE(""Currency:HKDEUR""),
IF($D76=""KRW"",'Original Data'!O76*GOOGLEFINANCE("&amp;"""Currency:KRWEUR""),""""))))))))"),11.117671425)</f>
        <v>11.11767143</v>
      </c>
      <c r="P76" s="8">
        <f>IFERROR(__xludf.DUMMYFUNCTION("IF('Original Data'!P76=""-"",""-"",
IF($D76=""Euro"",'Original Data'!P76,
IF($D76=""Dolar"",'Original Data'!P76*GOOGLEFINANCE(""Currency:USDEUR""),
IF($D76=""Franco Suíço"",'Original Data'!P76*GOOGLEFINANCE(""Currency:CHFEUR""),
IF($D76=""Libra Esterlina"&amp;""", 'Original Data'!P76*GOOGLEFINANCE(""Currency:GBPEUR""),
IF($D76=""Iene"",'Original Data'!P76*GOOGLEFINANCE(""Currency:JPYEUR""),
IF($D76=""HKD"",'Original Data'!P76*GOOGLEFINANCE(""Currency:HKDEUR""),
IF($D76=""KRW"",'Original Data'!P76*GOOGLEFINANCE("&amp;"""Currency:KRWEUR""),""""))))))))"),11.3400248535)</f>
        <v>11.34002485</v>
      </c>
      <c r="Q76" s="8">
        <f>IFERROR(__xludf.DUMMYFUNCTION("IF('Original Data'!Q76=""-"",""-"",
IF($D76=""Euro"",'Original Data'!Q76,
IF($D76=""Dolar"",'Original Data'!Q76*GOOGLEFINANCE(""Currency:USDEUR""),
IF($D76=""Franco Suíço"",'Original Data'!Q76*GOOGLEFINANCE(""Currency:CHFEUR""),
IF($D76=""Libra Esterlina"&amp;""", 'Original Data'!Q76*GOOGLEFINANCE(""Currency:GBPEUR""),
IF($D76=""Iene"",'Original Data'!Q76*GOOGLEFINANCE(""Currency:JPYEUR""),
IF($D76=""HKD"",'Original Data'!Q76*GOOGLEFINANCE(""Currency:HKDEUR""),
IF($D76=""KRW"",'Original Data'!Q76*GOOGLEFINANCE("&amp;"""Currency:KRWEUR""),""""))))))))"),11.1917892345)</f>
        <v>11.19178923</v>
      </c>
      <c r="R76" s="8">
        <f>IFERROR(__xludf.DUMMYFUNCTION("IF('Original Data'!R76=""-"",""-"",
IF($D76=""Euro"",'Original Data'!R76,
IF($D76=""Dolar"",'Original Data'!R76*GOOGLEFINANCE(""Currency:USDEUR""),
IF($D76=""Franco Suíço"",'Original Data'!R76*GOOGLEFINANCE(""Currency:CHFEUR""),
IF($D76=""Libra Esterlina"&amp;""", 'Original Data'!R76*GOOGLEFINANCE(""Currency:GBPEUR""),
IF($D76=""Iene"",'Original Data'!R76*GOOGLEFINANCE(""Currency:JPYEUR""),
IF($D76=""HKD"",'Original Data'!R76*GOOGLEFINANCE(""Currency:HKDEUR""),
IF($D76=""KRW"",'Original Data'!R76*GOOGLEFINANCE("&amp;"""Currency:KRWEUR""),""""))))))))"),6.657039295861499)</f>
        <v>6.657039296</v>
      </c>
      <c r="S76" s="8">
        <f>IFERROR(__xludf.DUMMYFUNCTION("IF('Original Data'!S76=""-"",""-"",
IF($D76=""Euro"",'Original Data'!S76,
IF($D76=""Dolar"",'Original Data'!S76*GOOGLEFINANCE(""Currency:USDEUR""),
IF($D76=""Franco Suíço"",'Original Data'!S76*GOOGLEFINANCE(""Currency:CHFEUR""),
IF($D76=""Libra Esterlina"&amp;""", 'Original Data'!S76*GOOGLEFINANCE(""Currency:GBPEUR""),
IF($D76=""Iene"",'Original Data'!S76*GOOGLEFINANCE(""Currency:JPYEUR""),
IF($D76=""HKD"",'Original Data'!S76*GOOGLEFINANCE(""Currency:HKDEUR""),
IF($D76=""KRW"",'Original Data'!S76*GOOGLEFINANCE("&amp;"""Currency:KRWEUR""),""""))))))))"),2.6395575497235)</f>
        <v>2.63955755</v>
      </c>
      <c r="T76" s="8">
        <f>IFERROR(__xludf.DUMMYFUNCTION("IF('Original Data'!T76=""-"",""-"",
IF($D76=""Euro"",'Original Data'!T76,
IF($D76=""Dolar"",'Original Data'!T76*GOOGLEFINANCE(""Currency:USDEUR""),
IF($D76=""Franco Suíço"",'Original Data'!T76*GOOGLEFINANCE(""Currency:CHFEUR""),
IF($D76=""Libra Esterlina"&amp;""", 'Original Data'!T76*GOOGLEFINANCE(""Currency:GBPEUR""),
IF($D76=""Iene"",'Original Data'!T76*GOOGLEFINANCE(""Currency:JPYEUR""),
IF($D76=""HKD"",'Original Data'!T76*GOOGLEFINANCE(""Currency:HKDEUR""),
IF($D76=""KRW"",'Original Data'!T76*GOOGLEFINANCE("&amp;"""Currency:KRWEUR""),""""))))))))"),2.6780988106634998)</f>
        <v>2.678098811</v>
      </c>
      <c r="U76" s="8">
        <f>IFERROR(__xludf.DUMMYFUNCTION("IF('Original Data'!U76=""-"",""-"",
IF($D76=""Euro"",'Original Data'!U76,
IF($D76=""Dolar"",'Original Data'!U76*GOOGLEFINANCE(""Currency:USDEUR""),
IF($D76=""Franco Suíço"",'Original Data'!U76*GOOGLEFINANCE(""Currency:CHFEUR""),
IF($D76=""Libra Esterlina"&amp;""", 'Original Data'!U76*GOOGLEFINANCE(""Currency:GBPEUR""),
IF($D76=""Iene"",'Original Data'!U76*GOOGLEFINANCE(""Currency:JPYEUR""),
IF($D76=""HKD"",'Original Data'!U76*GOOGLEFINANCE(""Currency:HKDEUR""),
IF($D76=""KRW"",'Original Data'!U76*GOOGLEFINANCE("&amp;"""Currency:KRWEUR""),""""))))))))"),2.4627124562564995)</f>
        <v>2.462712456</v>
      </c>
      <c r="V76" s="8">
        <f>IFERROR(__xludf.DUMMYFUNCTION("IF('Original Data'!V76=""-"",""-"",
IF($D76=""Euro"",'Original Data'!V76,
IF($D76=""Dolar"",'Original Data'!V76*GOOGLEFINANCE(""Currency:USDEUR""),
IF($D76=""Franco Suíço"",'Original Data'!V76*GOOGLEFINANCE(""Currency:CHFEUR""),
IF($D76=""Libra Esterlina"&amp;""", 'Original Data'!V76*GOOGLEFINANCE(""Currency:GBPEUR""),
IF($D76=""Iene"",'Original Data'!V76*GOOGLEFINANCE(""Currency:JPYEUR""),
IF($D76=""HKD"",'Original Data'!V76*GOOGLEFINANCE(""Currency:HKDEUR""),
IF($D76=""KRW"",'Original Data'!V76*GOOGLEFINANCE("&amp;"""Currency:KRWEUR""),""""))))))))"),-0.5253470337359999)</f>
        <v>-0.5253470337</v>
      </c>
      <c r="W76" s="7" t="s">
        <v>42</v>
      </c>
      <c r="X76" s="7" t="s">
        <v>43</v>
      </c>
      <c r="Y76" s="7" t="s">
        <v>41</v>
      </c>
      <c r="Z76" s="7" t="s">
        <v>41</v>
      </c>
      <c r="AA76" s="7" t="s">
        <v>59</v>
      </c>
      <c r="AB76" s="7" t="s">
        <v>59</v>
      </c>
      <c r="AC76" s="7">
        <v>25.0</v>
      </c>
      <c r="AD76" s="7">
        <v>8.6</v>
      </c>
      <c r="AE76" s="7">
        <v>10.8</v>
      </c>
      <c r="AF76" s="7">
        <v>5.3</v>
      </c>
      <c r="AG76" s="7">
        <v>1.0</v>
      </c>
    </row>
    <row r="77">
      <c r="A77" s="16" t="s">
        <v>273</v>
      </c>
      <c r="B77" s="16" t="s">
        <v>274</v>
      </c>
      <c r="C77" s="16" t="s">
        <v>275</v>
      </c>
      <c r="D77" s="7" t="s">
        <v>40</v>
      </c>
      <c r="E77" s="8">
        <f>IFERROR(__xludf.DUMMYFUNCTION("IF($D77=""Euro"",'Original Data'!E77,
IF($D77=""Dolar"",'Original Data'!E77*GOOGLEFINANCE(""Currency:USDEUR""),
IF($D77=""Franco Suíço"",'Original Data'!E77*GOOGLEFINANCE(""Currency:CHFEUR""),
IF($D77=""Libra Esterlina"", 'Original Data'!E77*GOOGLEFINANCE"&amp;"(""Currency:GBPEUR""),
IF($D77=""Iene"",'Original Data'!E77*GOOGLEFINANCE(""Currency:JPYEUR""),
IF($D77=""HKD"",'Original Data'!E77*GOOGLEFINANCE(""Currency:HKDEUR""),
IF($D77=""KRW"",'Original Data'!E77*GOOGLEFINANCE(""Currency:KRWEUR""),"""")))))))"),9.281899999999998)</f>
        <v>9.2819</v>
      </c>
      <c r="F77" s="8">
        <f>IFERROR(__xludf.DUMMYFUNCTION("IF($D77=""Euro"",'Original Data'!F77,
IF($D77=""Dolar"",'Original Data'!F77*GOOGLEFINANCE(""Currency:USDEUR""),
IF($D77=""Franco Suíço"",'Original Data'!F77*GOOGLEFINANCE(""Currency:CHFEUR""),
IF($D77=""Libra Esterlina"", 'Original Data'!F77*GOOGLEFINANCE"&amp;"(""Currency:GBPEUR""),
IF($D77=""Iene"",'Original Data'!F77*GOOGLEFINANCE(""Currency:JPYEUR""),
IF($D77=""HKD"",'Original Data'!F77*GOOGLEFINANCE(""Currency:HKDEUR""),
IF($D77=""KRW"",'Original Data'!F77*GOOGLEFINANCE(""Currency:KRWEUR""),"""")))))))"),13.25198)</f>
        <v>13.25198</v>
      </c>
      <c r="G77" s="8">
        <f>IFERROR(__xludf.DUMMYFUNCTION("IF($D77=""Euro"",'Original Data'!G77,
IF($D77=""Dolar"",'Original Data'!G77*GOOGLEFINANCE(""Currency:USDEUR""),
IF($D77=""Franco Suíço"",'Original Data'!G77*GOOGLEFINANCE(""Currency:CHFEUR""),
IF($D77=""Libra Esterlina"", 'Original Data'!G77*GOOGLEFINANCE"&amp;"(""Currency:GBPEUR""),
IF($D77=""Iene"",'Original Data'!G77*GOOGLEFINANCE(""Currency:JPYEUR""),
IF($D77=""HKD"",'Original Data'!G77*GOOGLEFINANCE(""Currency:HKDEUR""),
IF($D77=""KRW"",'Original Data'!G77*GOOGLEFINANCE(""Currency:KRWEUR""),"""")))))))"),0.6624813679999999)</f>
        <v>0.662481368</v>
      </c>
      <c r="H77" s="17">
        <v>0.273515</v>
      </c>
      <c r="I77" s="7" t="s">
        <v>41</v>
      </c>
      <c r="J77" s="7" t="s">
        <v>51</v>
      </c>
      <c r="K77" s="9">
        <v>-0.0957</v>
      </c>
      <c r="L77" s="9">
        <v>-0.0654</v>
      </c>
      <c r="M77" s="9">
        <v>-0.1504</v>
      </c>
      <c r="N77" s="8">
        <f>IFERROR(__xludf.DUMMYFUNCTION("IF('Original Data'!N77=""-"",""-"",
IF($D77=""Euro"",'Original Data'!N77,
IF($D77=""Dolar"",'Original Data'!N77*GOOGLEFINANCE(""Currency:USDEUR""),
IF($D77=""Franco Suíço"",'Original Data'!N77*GOOGLEFINANCE(""Currency:CHFEUR""),
IF($D77=""Libra Esterlina"&amp;""", 'Original Data'!N77*GOOGLEFINANCE(""Currency:GBPEUR""),
IF($D77=""Iene"",'Original Data'!N77*GOOGLEFINANCE(""Currency:JPYEUR""),
IF($D77=""HKD"",'Original Data'!N77*GOOGLEFINANCE(""Currency:HKDEUR""),
IF($D77=""KRW"",'Original Data'!N77*GOOGLEFINANCE("&amp;"""Currency:KRWEUR""),""""))))))))"),-2.28831)</f>
        <v>-2.28831</v>
      </c>
      <c r="O77" s="8">
        <f>IFERROR(__xludf.DUMMYFUNCTION("IF('Original Data'!O77=""-"",""-"",
IF($D77=""Euro"",'Original Data'!O77,
IF($D77=""Dolar"",'Original Data'!O77*GOOGLEFINANCE(""Currency:USDEUR""),
IF($D77=""Franco Suíço"",'Original Data'!O77*GOOGLEFINANCE(""Currency:CHFEUR""),
IF($D77=""Libra Esterlina"&amp;""", 'Original Data'!O77*GOOGLEFINANCE(""Currency:GBPEUR""),
IF($D77=""Iene"",'Original Data'!O77*GOOGLEFINANCE(""Currency:JPYEUR""),
IF($D77=""HKD"",'Original Data'!O77*GOOGLEFINANCE(""Currency:HKDEUR""),
IF($D77=""KRW"",'Original Data'!O77*GOOGLEFINANCE("&amp;"""Currency:KRWEUR""),""""))))))))"),0.28464186999999996)</f>
        <v>0.28464187</v>
      </c>
      <c r="P77" s="8">
        <f>IFERROR(__xludf.DUMMYFUNCTION("IF('Original Data'!P77=""-"",""-"",
IF($D77=""Euro"",'Original Data'!P77,
IF($D77=""Dolar"",'Original Data'!P77*GOOGLEFINANCE(""Currency:USDEUR""),
IF($D77=""Franco Suíço"",'Original Data'!P77*GOOGLEFINANCE(""Currency:CHFEUR""),
IF($D77=""Libra Esterlina"&amp;""", 'Original Data'!P77*GOOGLEFINANCE(""Currency:GBPEUR""),
IF($D77=""Iene"",'Original Data'!P77*GOOGLEFINANCE(""Currency:JPYEUR""),
IF($D77=""HKD"",'Original Data'!P77*GOOGLEFINANCE(""Currency:HKDEUR""),
IF($D77=""KRW"",'Original Data'!P77*GOOGLEFINANCE("&amp;"""Currency:KRWEUR""),""""))))))))"),0.31529970999999996)</f>
        <v>0.31529971</v>
      </c>
      <c r="Q77" s="8">
        <f>IFERROR(__xludf.DUMMYFUNCTION("IF('Original Data'!Q77=""-"",""-"",
IF($D77=""Euro"",'Original Data'!Q77,
IF($D77=""Dolar"",'Original Data'!Q77*GOOGLEFINANCE(""Currency:USDEUR""),
IF($D77=""Franco Suíço"",'Original Data'!Q77*GOOGLEFINANCE(""Currency:CHFEUR""),
IF($D77=""Libra Esterlina"&amp;""", 'Original Data'!Q77*GOOGLEFINANCE(""Currency:GBPEUR""),
IF($D77=""Iene"",'Original Data'!Q77*GOOGLEFINANCE(""Currency:JPYEUR""),
IF($D77=""HKD"",'Original Data'!Q77*GOOGLEFINANCE(""Currency:HKDEUR""),
IF($D77=""KRW"",'Original Data'!Q77*GOOGLEFINANCE("&amp;"""Currency:KRWEUR""),""""))))))))"),0.07568884)</f>
        <v>0.07568884</v>
      </c>
      <c r="R77" s="8">
        <f>IFERROR(__xludf.DUMMYFUNCTION("IF('Original Data'!R77=""-"",""-"",
IF($D77=""Euro"",'Original Data'!R77,
IF($D77=""Dolar"",'Original Data'!R77*GOOGLEFINANCE(""Currency:USDEUR""),
IF($D77=""Franco Suíço"",'Original Data'!R77*GOOGLEFINANCE(""Currency:CHFEUR""),
IF($D77=""Libra Esterlina"&amp;""", 'Original Data'!R77*GOOGLEFINANCE(""Currency:GBPEUR""),
IF($D77=""Iene"",'Original Data'!R77*GOOGLEFINANCE(""Currency:JPYEUR""),
IF($D77=""HKD"",'Original Data'!R77*GOOGLEFINANCE(""Currency:HKDEUR""),
IF($D77=""KRW"",'Original Data'!R77*GOOGLEFINANCE("&amp;"""Currency:KRWEUR""),""""))))))))"),0.13519409)</f>
        <v>0.13519409</v>
      </c>
      <c r="S77" s="8">
        <f>IFERROR(__xludf.DUMMYFUNCTION("IF('Original Data'!S77=""-"",""-"",
IF($D77=""Euro"",'Original Data'!S77,
IF($D77=""Dolar"",'Original Data'!S77*GOOGLEFINANCE(""Currency:USDEUR""),
IF($D77=""Franco Suíço"",'Original Data'!S77*GOOGLEFINANCE(""Currency:CHFEUR""),
IF($D77=""Libra Esterlina"&amp;""", 'Original Data'!S77*GOOGLEFINANCE(""Currency:GBPEUR""),
IF($D77=""Iene"",'Original Data'!S77*GOOGLEFINANCE(""Currency:JPYEUR""),
IF($D77=""HKD"",'Original Data'!S77*GOOGLEFINANCE(""Currency:HKDEUR""),
IF($D77=""KRW"",'Original Data'!S77*GOOGLEFINANCE("&amp;"""Currency:KRWEUR""),""""))))))))"),0.04329408999999999)</f>
        <v>0.04329409</v>
      </c>
      <c r="T77" s="8">
        <f>IFERROR(__xludf.DUMMYFUNCTION("IF('Original Data'!T77=""-"",""-"",
IF($D77=""Euro"",'Original Data'!T77,
IF($D77=""Dolar"",'Original Data'!T77*GOOGLEFINANCE(""Currency:USDEUR""),
IF($D77=""Franco Suíço"",'Original Data'!T77*GOOGLEFINANCE(""Currency:CHFEUR""),
IF($D77=""Libra Esterlina"&amp;""", 'Original Data'!T77*GOOGLEFINANCE(""Currency:GBPEUR""),
IF($D77=""Iene"",'Original Data'!T77*GOOGLEFINANCE(""Currency:JPYEUR""),
IF($D77=""HKD"",'Original Data'!T77*GOOGLEFINANCE(""Currency:HKDEUR""),
IF($D77=""KRW"",'Original Data'!T77*GOOGLEFINANCE("&amp;"""Currency:KRWEUR""),""""))))))))"),0.054276139999999994)</f>
        <v>0.05427614</v>
      </c>
      <c r="U77" s="8">
        <f>IFERROR(__xludf.DUMMYFUNCTION("IF('Original Data'!U77=""-"",""-"",
IF($D77=""Euro"",'Original Data'!U77,
IF($D77=""Dolar"",'Original Data'!U77*GOOGLEFINANCE(""Currency:USDEUR""),
IF($D77=""Franco Suíço"",'Original Data'!U77*GOOGLEFINANCE(""Currency:CHFEUR""),
IF($D77=""Libra Esterlina"&amp;""", 'Original Data'!U77*GOOGLEFINANCE(""Currency:GBPEUR""),
IF($D77=""Iene"",'Original Data'!U77*GOOGLEFINANCE(""Currency:JPYEUR""),
IF($D77=""HKD"",'Original Data'!U77*GOOGLEFINANCE(""Currency:HKDEUR""),
IF($D77=""KRW"",'Original Data'!U77*GOOGLEFINANCE("&amp;"""Currency:KRWEUR""),""""))))))))"),-0.051712129999999995)</f>
        <v>-0.05171213</v>
      </c>
      <c r="V77" s="8">
        <f>IFERROR(__xludf.DUMMYFUNCTION("IF('Original Data'!V77=""-"",""-"",
IF($D77=""Euro"",'Original Data'!V77,
IF($D77=""Dolar"",'Original Data'!V77*GOOGLEFINANCE(""Currency:USDEUR""),
IF($D77=""Franco Suíço"",'Original Data'!V77*GOOGLEFINANCE(""Currency:CHFEUR""),
IF($D77=""Libra Esterlina"&amp;""", 'Original Data'!V77*GOOGLEFINANCE(""Currency:GBPEUR""),
IF($D77=""Iene"",'Original Data'!V77*GOOGLEFINANCE(""Currency:JPYEUR""),
IF($D77=""HKD"",'Original Data'!V77*GOOGLEFINANCE(""Currency:HKDEUR""),
IF($D77=""KRW"",'Original Data'!V77*GOOGLEFINANCE("&amp;"""Currency:KRWEUR""),""""))))))))"),-0.06459651)</f>
        <v>-0.06459651</v>
      </c>
      <c r="W77" s="7" t="s">
        <v>41</v>
      </c>
      <c r="X77" s="7" t="s">
        <v>41</v>
      </c>
      <c r="Y77" s="7" t="s">
        <v>41</v>
      </c>
      <c r="Z77" s="7" t="s">
        <v>41</v>
      </c>
      <c r="AA77" s="7" t="s">
        <v>41</v>
      </c>
      <c r="AB77" s="7" t="s">
        <v>41</v>
      </c>
      <c r="AC77" s="7" t="s">
        <v>41</v>
      </c>
      <c r="AD77" s="7" t="s">
        <v>41</v>
      </c>
      <c r="AE77" s="7" t="s">
        <v>41</v>
      </c>
      <c r="AF77" s="7" t="s">
        <v>41</v>
      </c>
      <c r="AG77" s="7" t="s">
        <v>41</v>
      </c>
    </row>
    <row r="78">
      <c r="A78" s="16" t="s">
        <v>276</v>
      </c>
      <c r="B78" s="16" t="s">
        <v>277</v>
      </c>
      <c r="C78" s="16" t="s">
        <v>278</v>
      </c>
      <c r="D78" s="7" t="s">
        <v>124</v>
      </c>
      <c r="E78" s="8">
        <f>IFERROR(__xludf.DUMMYFUNCTION("IF($D78=""Euro"",'Original Data'!E78,
IF($D78=""Dolar"",'Original Data'!E78*GOOGLEFINANCE(""Currency:USDEUR""),
IF($D78=""Franco Suíço"",'Original Data'!E78*GOOGLEFINANCE(""Currency:CHFEUR""),
IF($D78=""Libra Esterlina"", 'Original Data'!E78*GOOGLEFINANCE"&amp;"(""Currency:GBPEUR""),
IF($D78=""Iene"",'Original Data'!E78*GOOGLEFINANCE(""Currency:JPYEUR""),
IF($D78=""HKD"",'Original Data'!E78*GOOGLEFINANCE(""Currency:HKDEUR""),
IF($D78=""KRW"",'Original Data'!E78*GOOGLEFINANCE(""Currency:KRWEUR""),"""")))))))"),270.53654336)</f>
        <v>270.5365434</v>
      </c>
      <c r="F78" s="8">
        <f>IFERROR(__xludf.DUMMYFUNCTION("IF($D78=""Euro"",'Original Data'!F78,
IF($D78=""Dolar"",'Original Data'!F78*GOOGLEFINANCE(""Currency:USDEUR""),
IF($D78=""Franco Suíço"",'Original Data'!F78*GOOGLEFINANCE(""Currency:CHFEUR""),
IF($D78=""Libra Esterlina"", 'Original Data'!F78*GOOGLEFINANCE"&amp;"(""Currency:GBPEUR""),
IF($D78=""Iene"",'Original Data'!F78*GOOGLEFINANCE(""Currency:JPYEUR""),
IF($D78=""HKD"",'Original Data'!F78*GOOGLEFINANCE(""Currency:HKDEUR""),
IF($D78=""KRW"",'Original Data'!F78*GOOGLEFINANCE(""Currency:KRWEUR""),"""")))))))"),259.4844288)</f>
        <v>259.4844288</v>
      </c>
      <c r="G78" s="8">
        <f>IFERROR(__xludf.DUMMYFUNCTION("IF($D78=""Euro"",'Original Data'!G78,
IF($D78=""Dolar"",'Original Data'!G78*GOOGLEFINANCE(""Currency:USDEUR""),
IF($D78=""Franco Suíço"",'Original Data'!G78*GOOGLEFINANCE(""Currency:CHFEUR""),
IF($D78=""Libra Esterlina"", 'Original Data'!G78*GOOGLEFINANCE"&amp;"(""Currency:GBPEUR""),
IF($D78=""Iene"",'Original Data'!G78*GOOGLEFINANCE(""Currency:JPYEUR""),
IF($D78=""HKD"",'Original Data'!G78*GOOGLEFINANCE(""Currency:HKDEUR""),
IF($D78=""KRW"",'Original Data'!G78*GOOGLEFINANCE(""Currency:KRWEUR""),"""")))))))"),6.7526017328000005)</f>
        <v>6.752601733</v>
      </c>
      <c r="H78" s="17">
        <v>8.442</v>
      </c>
      <c r="I78" s="7">
        <v>67.56</v>
      </c>
      <c r="J78" s="9">
        <v>0.086</v>
      </c>
      <c r="K78" s="7" t="s">
        <v>51</v>
      </c>
      <c r="L78" s="9">
        <v>0.0038</v>
      </c>
      <c r="M78" s="9">
        <v>0.1205</v>
      </c>
      <c r="N78" s="8">
        <f>IFERROR(__xludf.DUMMYFUNCTION("IF('Original Data'!N78=""-"",""-"",
IF($D78=""Euro"",'Original Data'!N78,
IF($D78=""Dolar"",'Original Data'!N78*GOOGLEFINANCE(""Currency:USDEUR""),
IF($D78=""Franco Suíço"",'Original Data'!N78*GOOGLEFINANCE(""Currency:CHFEUR""),
IF($D78=""Libra Esterlina"&amp;""", 'Original Data'!N78*GOOGLEFINANCE(""Currency:GBPEUR""),
IF($D78=""Iene"",'Original Data'!N78*GOOGLEFINANCE(""Currency:JPYEUR""),
IF($D78=""HKD"",'Original Data'!N78*GOOGLEFINANCE(""Currency:HKDEUR""),
IF($D78=""KRW"",'Original Data'!N78*GOOGLEFINANCE("&amp;"""Currency:KRWEUR""),""""))))))))"),0.036039504)</f>
        <v>0.036039504</v>
      </c>
      <c r="O78" s="8">
        <f>IFERROR(__xludf.DUMMYFUNCTION("IF('Original Data'!O78=""-"",""-"",
IF($D78=""Euro"",'Original Data'!O78,
IF($D78=""Dolar"",'Original Data'!O78*GOOGLEFINANCE(""Currency:USDEUR""),
IF($D78=""Franco Suíço"",'Original Data'!O78*GOOGLEFINANCE(""Currency:CHFEUR""),
IF($D78=""Libra Esterlina"&amp;""", 'Original Data'!O78*GOOGLEFINANCE(""Currency:GBPEUR""),
IF($D78=""Iene"",'Original Data'!O78*GOOGLEFINANCE(""Currency:JPYEUR""),
IF($D78=""HKD"",'Original Data'!O78*GOOGLEFINANCE(""Currency:HKDEUR""),
IF($D78=""KRW"",'Original Data'!O78*GOOGLEFINANCE("&amp;"""Currency:KRWEUR""),""""))))))))"),-3.471805552)</f>
        <v>-3.471805552</v>
      </c>
      <c r="P78" s="8">
        <f>IFERROR(__xludf.DUMMYFUNCTION("IF('Original Data'!P78=""-"",""-"",
IF($D78=""Euro"",'Original Data'!P78,
IF($D78=""Dolar"",'Original Data'!P78*GOOGLEFINANCE(""Currency:USDEUR""),
IF($D78=""Franco Suíço"",'Original Data'!P78*GOOGLEFINANCE(""Currency:CHFEUR""),
IF($D78=""Libra Esterlina"&amp;""", 'Original Data'!P78*GOOGLEFINANCE(""Currency:GBPEUR""),
IF($D78=""Iene"",'Original Data'!P78*GOOGLEFINANCE(""Currency:JPYEUR""),
IF($D78=""HKD"",'Original Data'!P78*GOOGLEFINANCE(""Currency:HKDEUR""),
IF($D78=""KRW"",'Original Data'!P78*GOOGLEFINANCE("&amp;"""Currency:KRWEUR""),""""))))))))"),39.247019856)</f>
        <v>39.24701986</v>
      </c>
      <c r="Q78" s="8">
        <f>IFERROR(__xludf.DUMMYFUNCTION("IF('Original Data'!Q78=""-"",""-"",
IF($D78=""Euro"",'Original Data'!Q78,
IF($D78=""Dolar"",'Original Data'!Q78*GOOGLEFINANCE(""Currency:USDEUR""),
IF($D78=""Franco Suíço"",'Original Data'!Q78*GOOGLEFINANCE(""Currency:CHFEUR""),
IF($D78=""Libra Esterlina"&amp;""", 'Original Data'!Q78*GOOGLEFINANCE(""Currency:GBPEUR""),
IF($D78=""Iene"",'Original Data'!Q78*GOOGLEFINANCE(""Currency:JPYEUR""),
IF($D78=""HKD"",'Original Data'!Q78*GOOGLEFINANCE(""Currency:HKDEUR""),
IF($D78=""KRW"",'Original Data'!Q78*GOOGLEFINANCE("&amp;"""Currency:KRWEUR""),""""))))))))"),18.932752768)</f>
        <v>18.93275277</v>
      </c>
      <c r="R78" s="8">
        <f>IFERROR(__xludf.DUMMYFUNCTION("IF('Original Data'!R78=""-"",""-"",
IF($D78=""Euro"",'Original Data'!R78,
IF($D78=""Dolar"",'Original Data'!R78*GOOGLEFINANCE(""Currency:USDEUR""),
IF($D78=""Franco Suíço"",'Original Data'!R78*GOOGLEFINANCE(""Currency:CHFEUR""),
IF($D78=""Libra Esterlina"&amp;""", 'Original Data'!R78*GOOGLEFINANCE(""Currency:GBPEUR""),
IF($D78=""Iene"",'Original Data'!R78*GOOGLEFINANCE(""Currency:JPYEUR""),
IF($D78=""HKD"",'Original Data'!R78*GOOGLEFINANCE(""Currency:HKDEUR""),
IF($D78=""KRW"",'Original Data'!R78*GOOGLEFINANCE("&amp;"""Currency:KRWEUR""),""""))))))))"),20.914925488)</f>
        <v>20.91492549</v>
      </c>
      <c r="S78" s="8" t="str">
        <f>IFERROR(__xludf.DUMMYFUNCTION("IF('Original Data'!S78=""-"",""-"",
IF($D78=""Euro"",'Original Data'!S78,
IF($D78=""Dolar"",'Original Data'!S78*GOOGLEFINANCE(""Currency:USDEUR""),
IF($D78=""Franco Suíço"",'Original Data'!S78*GOOGLEFINANCE(""Currency:CHFEUR""),
IF($D78=""Libra Esterlina"&amp;""", 'Original Data'!S78*GOOGLEFINANCE(""Currency:GBPEUR""),
IF($D78=""Iene"",'Original Data'!S78*GOOGLEFINANCE(""Currency:JPYEUR""),
IF($D78=""HKD"",'Original Data'!S78*GOOGLEFINANCE(""Currency:HKDEUR""),
IF($D78=""KRW"",'Original Data'!S78*GOOGLEFINANCE("&amp;"""Currency:KRWEUR""),""""))))))))"),"-")</f>
        <v>-</v>
      </c>
      <c r="T78" s="8" t="str">
        <f>IFERROR(__xludf.DUMMYFUNCTION("IF('Original Data'!T78=""-"",""-"",
IF($D78=""Euro"",'Original Data'!T78,
IF($D78=""Dolar"",'Original Data'!T78*GOOGLEFINANCE(""Currency:USDEUR""),
IF($D78=""Franco Suíço"",'Original Data'!T78*GOOGLEFINANCE(""Currency:CHFEUR""),
IF($D78=""Libra Esterlina"&amp;""", 'Original Data'!T78*GOOGLEFINANCE(""Currency:GBPEUR""),
IF($D78=""Iene"",'Original Data'!T78*GOOGLEFINANCE(""Currency:JPYEUR""),
IF($D78=""HKD"",'Original Data'!T78*GOOGLEFINANCE(""Currency:HKDEUR""),
IF($D78=""KRW"",'Original Data'!T78*GOOGLEFINANCE("&amp;"""Currency:KRWEUR""),""""))))))))"),"-")</f>
        <v>-</v>
      </c>
      <c r="U78" s="8" t="str">
        <f>IFERROR(__xludf.DUMMYFUNCTION("IF('Original Data'!U78=""-"",""-"",
IF($D78=""Euro"",'Original Data'!U78,
IF($D78=""Dolar"",'Original Data'!U78*GOOGLEFINANCE(""Currency:USDEUR""),
IF($D78=""Franco Suíço"",'Original Data'!U78*GOOGLEFINANCE(""Currency:CHFEUR""),
IF($D78=""Libra Esterlina"&amp;""", 'Original Data'!U78*GOOGLEFINANCE(""Currency:GBPEUR""),
IF($D78=""Iene"",'Original Data'!U78*GOOGLEFINANCE(""Currency:JPYEUR""),
IF($D78=""HKD"",'Original Data'!U78*GOOGLEFINANCE(""Currency:HKDEUR""),
IF($D78=""KRW"",'Original Data'!U78*GOOGLEFINANCE("&amp;"""Currency:KRWEUR""),""""))))))))"),"-")</f>
        <v>-</v>
      </c>
      <c r="V78" s="8" t="str">
        <f>IFERROR(__xludf.DUMMYFUNCTION("IF('Original Data'!V78=""-"",""-"",
IF($D78=""Euro"",'Original Data'!V78,
IF($D78=""Dolar"",'Original Data'!V78*GOOGLEFINANCE(""Currency:USDEUR""),
IF($D78=""Franco Suíço"",'Original Data'!V78*GOOGLEFINANCE(""Currency:CHFEUR""),
IF($D78=""Libra Esterlina"&amp;""", 'Original Data'!V78*GOOGLEFINANCE(""Currency:GBPEUR""),
IF($D78=""Iene"",'Original Data'!V78*GOOGLEFINANCE(""Currency:JPYEUR""),
IF($D78=""HKD"",'Original Data'!V78*GOOGLEFINANCE(""Currency:HKDEUR""),
IF($D78=""KRW"",'Original Data'!V78*GOOGLEFINANCE("&amp;"""Currency:KRWEUR""),""""))))))))"),"-")</f>
        <v>-</v>
      </c>
      <c r="W78" s="7" t="s">
        <v>35</v>
      </c>
      <c r="X78" s="7" t="s">
        <v>43</v>
      </c>
      <c r="Y78" s="7" t="s">
        <v>41</v>
      </c>
      <c r="Z78" s="7" t="s">
        <v>41</v>
      </c>
      <c r="AA78" s="7" t="s">
        <v>41</v>
      </c>
      <c r="AB78" s="7" t="s">
        <v>41</v>
      </c>
      <c r="AC78" s="7" t="s">
        <v>41</v>
      </c>
      <c r="AD78" s="7" t="s">
        <v>41</v>
      </c>
      <c r="AE78" s="7" t="s">
        <v>41</v>
      </c>
      <c r="AF78" s="7" t="s">
        <v>41</v>
      </c>
      <c r="AG78" s="7" t="s">
        <v>41</v>
      </c>
    </row>
    <row r="79">
      <c r="A79" s="16" t="s">
        <v>279</v>
      </c>
      <c r="B79" s="16" t="s">
        <v>280</v>
      </c>
      <c r="C79" s="16" t="s">
        <v>281</v>
      </c>
      <c r="D79" s="7" t="s">
        <v>33</v>
      </c>
      <c r="E79" s="8">
        <f>IFERROR(__xludf.DUMMYFUNCTION("IF($D79=""Euro"",'Original Data'!E79,
IF($D79=""Dolar"",'Original Data'!E79*GOOGLEFINANCE(""Currency:USDEUR""),
IF($D79=""Franco Suíço"",'Original Data'!E79*GOOGLEFINANCE(""Currency:CHFEUR""),
IF($D79=""Libra Esterlina"", 'Original Data'!E79*GOOGLEFINANCE"&amp;"(""Currency:GBPEUR""),
IF($D79=""Iene"",'Original Data'!E79*GOOGLEFINANCE(""Currency:JPYEUR""),
IF($D79=""HKD"",'Original Data'!E79*GOOGLEFINANCE(""Currency:HKDEUR""),
IF($D79=""KRW"",'Original Data'!E79*GOOGLEFINANCE(""Currency:KRWEUR""),"""")))))))"),9.5)</f>
        <v>9.5</v>
      </c>
      <c r="F79" s="8">
        <f>IFERROR(__xludf.DUMMYFUNCTION("IF($D79=""Euro"",'Original Data'!F79,
IF($D79=""Dolar"",'Original Data'!F79*GOOGLEFINANCE(""Currency:USDEUR""),
IF($D79=""Franco Suíço"",'Original Data'!F79*GOOGLEFINANCE(""Currency:CHFEUR""),
IF($D79=""Libra Esterlina"", 'Original Data'!F79*GOOGLEFINANCE"&amp;"(""Currency:GBPEUR""),
IF($D79=""Iene"",'Original Data'!F79*GOOGLEFINANCE(""Currency:JPYEUR""),
IF($D79=""HKD"",'Original Data'!F79*GOOGLEFINANCE(""Currency:HKDEUR""),
IF($D79=""KRW"",'Original Data'!F79*GOOGLEFINANCE(""Currency:KRWEUR""),"""")))))))"),4.98)</f>
        <v>4.98</v>
      </c>
      <c r="G79" s="8">
        <f>IFERROR(__xludf.DUMMYFUNCTION("IF($D79=""Euro"",'Original Data'!G79,
IF($D79=""Dolar"",'Original Data'!G79*GOOGLEFINANCE(""Currency:USDEUR""),
IF($D79=""Franco Suíço"",'Original Data'!G79*GOOGLEFINANCE(""Currency:CHFEUR""),
IF($D79=""Libra Esterlina"", 'Original Data'!G79*GOOGLEFINANCE"&amp;"(""Currency:GBPEUR""),
IF($D79=""Iene"",'Original Data'!G79*GOOGLEFINANCE(""Currency:JPYEUR""),
IF($D79=""HKD"",'Original Data'!G79*GOOGLEFINANCE(""Currency:HKDEUR""),
IF($D79=""KRW"",'Original Data'!G79*GOOGLEFINANCE(""Currency:KRWEUR""),"""")))))))"),0.181511)</f>
        <v>0.181511</v>
      </c>
      <c r="H79" s="17">
        <v>0.007399</v>
      </c>
      <c r="I79" s="7">
        <v>34.93</v>
      </c>
      <c r="J79" s="7" t="s">
        <v>51</v>
      </c>
      <c r="K79" s="9">
        <v>0.0161</v>
      </c>
      <c r="L79" s="9">
        <v>0.0127</v>
      </c>
      <c r="M79" s="9">
        <v>0.0339</v>
      </c>
      <c r="N79" s="8">
        <f>IFERROR(__xludf.DUMMYFUNCTION("IF('Original Data'!N79=""-"",""-"",
IF($D79=""Euro"",'Original Data'!N79,
IF($D79=""Dolar"",'Original Data'!N79*GOOGLEFINANCE(""Currency:USDEUR""),
IF($D79=""Franco Suíço"",'Original Data'!N79*GOOGLEFINANCE(""Currency:CHFEUR""),
IF($D79=""Libra Esterlina"&amp;""", 'Original Data'!N79*GOOGLEFINANCE(""Currency:GBPEUR""),
IF($D79=""Iene"",'Original Data'!N79*GOOGLEFINANCE(""Currency:JPYEUR""),
IF($D79=""HKD"",'Original Data'!N79*GOOGLEFINANCE(""Currency:HKDEUR""),
IF($D79=""KRW"",'Original Data'!N79*GOOGLEFINANCE("&amp;"""Currency:KRWEUR""),""""))))))))"),0.14)</f>
        <v>0.14</v>
      </c>
      <c r="O79" s="8">
        <f>IFERROR(__xludf.DUMMYFUNCTION("IF('Original Data'!O79=""-"",""-"",
IF($D79=""Euro"",'Original Data'!O79,
IF($D79=""Dolar"",'Original Data'!O79*GOOGLEFINANCE(""Currency:USDEUR""),
IF($D79=""Franco Suíço"",'Original Data'!O79*GOOGLEFINANCE(""Currency:CHFEUR""),
IF($D79=""Libra Esterlina"&amp;""", 'Original Data'!O79*GOOGLEFINANCE(""Currency:GBPEUR""),
IF($D79=""Iene"",'Original Data'!O79*GOOGLEFINANCE(""Currency:JPYEUR""),
IF($D79=""HKD"",'Original Data'!O79*GOOGLEFINANCE(""Currency:HKDEUR""),
IF($D79=""KRW"",'Original Data'!O79*GOOGLEFINANCE("&amp;"""Currency:KRWEUR""),""""))))))))"),0.41258)</f>
        <v>0.41258</v>
      </c>
      <c r="P79" s="8">
        <f>IFERROR(__xludf.DUMMYFUNCTION("IF('Original Data'!P79=""-"",""-"",
IF($D79=""Euro"",'Original Data'!P79,
IF($D79=""Dolar"",'Original Data'!P79*GOOGLEFINANCE(""Currency:USDEUR""),
IF($D79=""Franco Suíço"",'Original Data'!P79*GOOGLEFINANCE(""Currency:CHFEUR""),
IF($D79=""Libra Esterlina"&amp;""", 'Original Data'!P79*GOOGLEFINANCE(""Currency:GBPEUR""),
IF($D79=""Iene"",'Original Data'!P79*GOOGLEFINANCE(""Currency:JPYEUR""),
IF($D79=""HKD"",'Original Data'!P79*GOOGLEFINANCE(""Currency:HKDEUR""),
IF($D79=""KRW"",'Original Data'!P79*GOOGLEFINANCE("&amp;"""Currency:KRWEUR""),""""))))))))"),0.43762)</f>
        <v>0.43762</v>
      </c>
      <c r="Q79" s="8">
        <f>IFERROR(__xludf.DUMMYFUNCTION("IF('Original Data'!Q79=""-"",""-"",
IF($D79=""Euro"",'Original Data'!Q79,
IF($D79=""Dolar"",'Original Data'!Q79*GOOGLEFINANCE(""Currency:USDEUR""),
IF($D79=""Franco Suíço"",'Original Data'!Q79*GOOGLEFINANCE(""Currency:CHFEUR""),
IF($D79=""Libra Esterlina"&amp;""", 'Original Data'!Q79*GOOGLEFINANCE(""Currency:GBPEUR""),
IF($D79=""Iene"",'Original Data'!Q79*GOOGLEFINANCE(""Currency:JPYEUR""),
IF($D79=""HKD"",'Original Data'!Q79*GOOGLEFINANCE(""Currency:HKDEUR""),
IF($D79=""KRW"",'Original Data'!Q79*GOOGLEFINANCE("&amp;"""Currency:KRWEUR""),""""))))))))"),0.30573)</f>
        <v>0.30573</v>
      </c>
      <c r="R79" s="8">
        <f>IFERROR(__xludf.DUMMYFUNCTION("IF('Original Data'!R79=""-"",""-"",
IF($D79=""Euro"",'Original Data'!R79,
IF($D79=""Dolar"",'Original Data'!R79*GOOGLEFINANCE(""Currency:USDEUR""),
IF($D79=""Franco Suíço"",'Original Data'!R79*GOOGLEFINANCE(""Currency:CHFEUR""),
IF($D79=""Libra Esterlina"&amp;""", 'Original Data'!R79*GOOGLEFINANCE(""Currency:GBPEUR""),
IF($D79=""Iene"",'Original Data'!R79*GOOGLEFINANCE(""Currency:JPYEUR""),
IF($D79=""HKD"",'Original Data'!R79*GOOGLEFINANCE(""Currency:HKDEUR""),
IF($D79=""KRW"",'Original Data'!R79*GOOGLEFINANCE("&amp;"""Currency:KRWEUR""),""""))))))))"),0.33661)</f>
        <v>0.33661</v>
      </c>
      <c r="S79" s="8">
        <f>IFERROR(__xludf.DUMMYFUNCTION("IF('Original Data'!S79=""-"",""-"",
IF($D79=""Euro"",'Original Data'!S79,
IF($D79=""Dolar"",'Original Data'!S79*GOOGLEFINANCE(""Currency:USDEUR""),
IF($D79=""Franco Suíço"",'Original Data'!S79*GOOGLEFINANCE(""Currency:CHFEUR""),
IF($D79=""Libra Esterlina"&amp;""", 'Original Data'!S79*GOOGLEFINANCE(""Currency:GBPEUR""),
IF($D79=""Iene"",'Original Data'!S79*GOOGLEFINANCE(""Currency:JPYEUR""),
IF($D79=""HKD"",'Original Data'!S79*GOOGLEFINANCE(""Currency:HKDEUR""),
IF($D79=""KRW"",'Original Data'!S79*GOOGLEFINANCE("&amp;"""Currency:KRWEUR""),""""))))))))"),0.07032)</f>
        <v>0.07032</v>
      </c>
      <c r="T79" s="8">
        <f>IFERROR(__xludf.DUMMYFUNCTION("IF('Original Data'!T79=""-"",""-"",
IF($D79=""Euro"",'Original Data'!T79,
IF($D79=""Dolar"",'Original Data'!T79*GOOGLEFINANCE(""Currency:USDEUR""),
IF($D79=""Franco Suíço"",'Original Data'!T79*GOOGLEFINANCE(""Currency:CHFEUR""),
IF($D79=""Libra Esterlina"&amp;""", 'Original Data'!T79*GOOGLEFINANCE(""Currency:GBPEUR""),
IF($D79=""Iene"",'Original Data'!T79*GOOGLEFINANCE(""Currency:JPYEUR""),
IF($D79=""HKD"",'Original Data'!T79*GOOGLEFINANCE(""Currency:HKDEUR""),
IF($D79=""KRW"",'Original Data'!T79*GOOGLEFINANCE("&amp;"""Currency:KRWEUR""),""""))))))))"),0.08029)</f>
        <v>0.08029</v>
      </c>
      <c r="U79" s="8">
        <f>IFERROR(__xludf.DUMMYFUNCTION("IF('Original Data'!U79=""-"",""-"",
IF($D79=""Euro"",'Original Data'!U79,
IF($D79=""Dolar"",'Original Data'!U79*GOOGLEFINANCE(""Currency:USDEUR""),
IF($D79=""Franco Suíço"",'Original Data'!U79*GOOGLEFINANCE(""Currency:CHFEUR""),
IF($D79=""Libra Esterlina"&amp;""", 'Original Data'!U79*GOOGLEFINANCE(""Currency:GBPEUR""),
IF($D79=""Iene"",'Original Data'!U79*GOOGLEFINANCE(""Currency:JPYEUR""),
IF($D79=""HKD"",'Original Data'!U79*GOOGLEFINANCE(""Currency:HKDEUR""),
IF($D79=""KRW"",'Original Data'!U79*GOOGLEFINANCE("&amp;"""Currency:KRWEUR""),""""))))))))"),0.04615)</f>
        <v>0.04615</v>
      </c>
      <c r="V79" s="8">
        <f>IFERROR(__xludf.DUMMYFUNCTION("IF('Original Data'!V79=""-"",""-"",
IF($D79=""Euro"",'Original Data'!V79,
IF($D79=""Dolar"",'Original Data'!V79*GOOGLEFINANCE(""Currency:USDEUR""),
IF($D79=""Franco Suíço"",'Original Data'!V79*GOOGLEFINANCE(""Currency:CHFEUR""),
IF($D79=""Libra Esterlina"&amp;""", 'Original Data'!V79*GOOGLEFINANCE(""Currency:GBPEUR""),
IF($D79=""Iene"",'Original Data'!V79*GOOGLEFINANCE(""Currency:JPYEUR""),
IF($D79=""HKD"",'Original Data'!V79*GOOGLEFINANCE(""Currency:HKDEUR""),
IF($D79=""KRW"",'Original Data'!V79*GOOGLEFINANCE("&amp;"""Currency:KRWEUR""),""""))))))))"),0.04571)</f>
        <v>0.04571</v>
      </c>
      <c r="W79" s="7" t="s">
        <v>59</v>
      </c>
      <c r="X79" s="7" t="s">
        <v>41</v>
      </c>
      <c r="Y79" s="7" t="s">
        <v>41</v>
      </c>
      <c r="Z79" s="7" t="s">
        <v>41</v>
      </c>
      <c r="AA79" s="7" t="s">
        <v>41</v>
      </c>
      <c r="AB79" s="7" t="s">
        <v>41</v>
      </c>
      <c r="AC79" s="7" t="s">
        <v>41</v>
      </c>
      <c r="AD79" s="7" t="s">
        <v>41</v>
      </c>
      <c r="AE79" s="7" t="s">
        <v>41</v>
      </c>
      <c r="AF79" s="7" t="s">
        <v>41</v>
      </c>
      <c r="AG79" s="7" t="s">
        <v>41</v>
      </c>
    </row>
    <row r="80">
      <c r="A80" s="16" t="s">
        <v>282</v>
      </c>
      <c r="B80" s="16" t="s">
        <v>283</v>
      </c>
      <c r="C80" s="16" t="s">
        <v>284</v>
      </c>
      <c r="D80" s="7" t="s">
        <v>33</v>
      </c>
      <c r="E80" s="8">
        <f>IFERROR(__xludf.DUMMYFUNCTION("IF($D80=""Euro"",'Original Data'!E80,
IF($D80=""Dolar"",'Original Data'!E80*GOOGLEFINANCE(""Currency:USDEUR""),
IF($D80=""Franco Suíço"",'Original Data'!E80*GOOGLEFINANCE(""Currency:CHFEUR""),
IF($D80=""Libra Esterlina"", 'Original Data'!E80*GOOGLEFINANCE"&amp;"(""Currency:GBPEUR""),
IF($D80=""Iene"",'Original Data'!E80*GOOGLEFINANCE(""Currency:JPYEUR""),
IF($D80=""HKD"",'Original Data'!E80*GOOGLEFINANCE(""Currency:HKDEUR""),
IF($D80=""KRW"",'Original Data'!E80*GOOGLEFINANCE(""Currency:KRWEUR""),"""")))))))"),17.03)</f>
        <v>17.03</v>
      </c>
      <c r="F80" s="8">
        <f>IFERROR(__xludf.DUMMYFUNCTION("IF($D80=""Euro"",'Original Data'!F80,
IF($D80=""Dolar"",'Original Data'!F80*GOOGLEFINANCE(""Currency:USDEUR""),
IF($D80=""Franco Suíço"",'Original Data'!F80*GOOGLEFINANCE(""Currency:CHFEUR""),
IF($D80=""Libra Esterlina"", 'Original Data'!F80*GOOGLEFINANCE"&amp;"(""Currency:GBPEUR""),
IF($D80=""Iene"",'Original Data'!F80*GOOGLEFINANCE(""Currency:JPYEUR""),
IF($D80=""HKD"",'Original Data'!F80*GOOGLEFINANCE(""Currency:HKDEUR""),
IF($D80=""KRW"",'Original Data'!F80*GOOGLEFINANCE(""Currency:KRWEUR""),"""")))))))"),23.4)</f>
        <v>23.4</v>
      </c>
      <c r="G80" s="8">
        <f>IFERROR(__xludf.DUMMYFUNCTION("IF($D80=""Euro"",'Original Data'!G80,
IF($D80=""Dolar"",'Original Data'!G80*GOOGLEFINANCE(""Currency:USDEUR""),
IF($D80=""Franco Suíço"",'Original Data'!G80*GOOGLEFINANCE(""Currency:CHFEUR""),
IF($D80=""Libra Esterlina"", 'Original Data'!G80*GOOGLEFINANCE"&amp;"(""Currency:GBPEUR""),
IF($D80=""Iene"",'Original Data'!G80*GOOGLEFINANCE(""Currency:JPYEUR""),
IF($D80=""HKD"",'Original Data'!G80*GOOGLEFINANCE(""Currency:HKDEUR""),
IF($D80=""KRW"",'Original Data'!G80*GOOGLEFINANCE(""Currency:KRWEUR""),"""")))))))"),0.388333)</f>
        <v>0.388333</v>
      </c>
      <c r="H80" s="17">
        <v>0.021835</v>
      </c>
      <c r="I80" s="7" t="s">
        <v>41</v>
      </c>
      <c r="J80" s="7" t="s">
        <v>51</v>
      </c>
      <c r="K80" s="9">
        <v>0.0505</v>
      </c>
      <c r="L80" s="9">
        <v>0.0295</v>
      </c>
      <c r="M80" s="9">
        <v>0.0902</v>
      </c>
      <c r="N80" s="8">
        <f>IFERROR(__xludf.DUMMYFUNCTION("IF('Original Data'!N80=""-"",""-"",
IF($D80=""Euro"",'Original Data'!N80,
IF($D80=""Dolar"",'Original Data'!N80*GOOGLEFINANCE(""Currency:USDEUR""),
IF($D80=""Franco Suíço"",'Original Data'!N80*GOOGLEFINANCE(""Currency:CHFEUR""),
IF($D80=""Libra Esterlina"&amp;""", 'Original Data'!N80*GOOGLEFINANCE(""Currency:GBPEUR""),
IF($D80=""Iene"",'Original Data'!N80*GOOGLEFINANCE(""Currency:JPYEUR""),
IF($D80=""HKD"",'Original Data'!N80*GOOGLEFINANCE(""Currency:HKDEUR""),
IF($D80=""KRW"",'Original Data'!N80*GOOGLEFINANCE("&amp;"""Currency:KRWEUR""),""""))))))))"),-6.28)</f>
        <v>-6.28</v>
      </c>
      <c r="O80" s="8">
        <f>IFERROR(__xludf.DUMMYFUNCTION("IF('Original Data'!O80=""-"",""-"",
IF($D80=""Euro"",'Original Data'!O80,
IF($D80=""Dolar"",'Original Data'!O80*GOOGLEFINANCE(""Currency:USDEUR""),
IF($D80=""Franco Suíço"",'Original Data'!O80*GOOGLEFINANCE(""Currency:CHFEUR""),
IF($D80=""Libra Esterlina"&amp;""", 'Original Data'!O80*GOOGLEFINANCE(""Currency:GBPEUR""),
IF($D80=""Iene"",'Original Data'!O80*GOOGLEFINANCE(""Currency:JPYEUR""),
IF($D80=""HKD"",'Original Data'!O80*GOOGLEFINANCE(""Currency:HKDEUR""),
IF($D80=""KRW"",'Original Data'!O80*GOOGLEFINANCE("&amp;"""Currency:KRWEUR""),""""))))))))"),1.23)</f>
        <v>1.23</v>
      </c>
      <c r="P80" s="8">
        <f>IFERROR(__xludf.DUMMYFUNCTION("IF('Original Data'!P80=""-"",""-"",
IF($D80=""Euro"",'Original Data'!P80,
IF($D80=""Dolar"",'Original Data'!P80*GOOGLEFINANCE(""Currency:USDEUR""),
IF($D80=""Franco Suíço"",'Original Data'!P80*GOOGLEFINANCE(""Currency:CHFEUR""),
IF($D80=""Libra Esterlina"&amp;""", 'Original Data'!P80*GOOGLEFINANCE(""Currency:GBPEUR""),
IF($D80=""Iene"",'Original Data'!P80*GOOGLEFINANCE(""Currency:JPYEUR""),
IF($D80=""HKD"",'Original Data'!P80*GOOGLEFINANCE(""Currency:HKDEUR""),
IF($D80=""KRW"",'Original Data'!P80*GOOGLEFINANCE("&amp;"""Currency:KRWEUR""),""""))))))))"),1.25)</f>
        <v>1.25</v>
      </c>
      <c r="Q80" s="8">
        <f>IFERROR(__xludf.DUMMYFUNCTION("IF('Original Data'!Q80=""-"",""-"",
IF($D80=""Euro"",'Original Data'!Q80,
IF($D80=""Dolar"",'Original Data'!Q80*GOOGLEFINANCE(""Currency:USDEUR""),
IF($D80=""Franco Suíço"",'Original Data'!Q80*GOOGLEFINANCE(""Currency:CHFEUR""),
IF($D80=""Libra Esterlina"&amp;""", 'Original Data'!Q80*GOOGLEFINANCE(""Currency:GBPEUR""),
IF($D80=""Iene"",'Original Data'!Q80*GOOGLEFINANCE(""Currency:JPYEUR""),
IF($D80=""HKD"",'Original Data'!Q80*GOOGLEFINANCE(""Currency:HKDEUR""),
IF($D80=""KRW"",'Original Data'!Q80*GOOGLEFINANCE("&amp;"""Currency:KRWEUR""),""""))))))))"),1.03)</f>
        <v>1.03</v>
      </c>
      <c r="R80" s="8" t="str">
        <f>IFERROR(__xludf.DUMMYFUNCTION("IF('Original Data'!R80=""-"",""-"",
IF($D80=""Euro"",'Original Data'!R80,
IF($D80=""Dolar"",'Original Data'!R80*GOOGLEFINANCE(""Currency:USDEUR""),
IF($D80=""Franco Suíço"",'Original Data'!R80*GOOGLEFINANCE(""Currency:CHFEUR""),
IF($D80=""Libra Esterlina"&amp;""", 'Original Data'!R80*GOOGLEFINANCE(""Currency:GBPEUR""),
IF($D80=""Iene"",'Original Data'!R80*GOOGLEFINANCE(""Currency:JPYEUR""),
IF($D80=""HKD"",'Original Data'!R80*GOOGLEFINANCE(""Currency:HKDEUR""),
IF($D80=""KRW"",'Original Data'!R80*GOOGLEFINANCE("&amp;"""Currency:KRWEUR""),""""))))))))"),"-")</f>
        <v>-</v>
      </c>
      <c r="S80" s="8">
        <f>IFERROR(__xludf.DUMMYFUNCTION("IF('Original Data'!S80=""-"",""-"",
IF($D80=""Euro"",'Original Data'!S80,
IF($D80=""Dolar"",'Original Data'!S80*GOOGLEFINANCE(""Currency:USDEUR""),
IF($D80=""Franco Suíço"",'Original Data'!S80*GOOGLEFINANCE(""Currency:CHFEUR""),
IF($D80=""Libra Esterlina"&amp;""", 'Original Data'!S80*GOOGLEFINANCE(""Currency:GBPEUR""),
IF($D80=""Iene"",'Original Data'!S80*GOOGLEFINANCE(""Currency:JPYEUR""),
IF($D80=""HKD"",'Original Data'!S80*GOOGLEFINANCE(""Currency:HKDEUR""),
IF($D80=""KRW"",'Original Data'!S80*GOOGLEFINANCE("&amp;"""Currency:KRWEUR""),""""))))))))"),0.1111)</f>
        <v>0.1111</v>
      </c>
      <c r="T80" s="8">
        <f>IFERROR(__xludf.DUMMYFUNCTION("IF('Original Data'!T80=""-"",""-"",
IF($D80=""Euro"",'Original Data'!T80,
IF($D80=""Dolar"",'Original Data'!T80*GOOGLEFINANCE(""Currency:USDEUR""),
IF($D80=""Franco Suíço"",'Original Data'!T80*GOOGLEFINANCE(""Currency:CHFEUR""),
IF($D80=""Libra Esterlina"&amp;""", 'Original Data'!T80*GOOGLEFINANCE(""Currency:GBPEUR""),
IF($D80=""Iene"",'Original Data'!T80*GOOGLEFINANCE(""Currency:JPYEUR""),
IF($D80=""HKD"",'Original Data'!T80*GOOGLEFINANCE(""Currency:HKDEUR""),
IF($D80=""KRW"",'Original Data'!T80*GOOGLEFINANCE("&amp;"""Currency:KRWEUR""),""""))))))))"),0.086)</f>
        <v>0.086</v>
      </c>
      <c r="U80" s="8">
        <f>IFERROR(__xludf.DUMMYFUNCTION("IF('Original Data'!U80=""-"",""-"",
IF($D80=""Euro"",'Original Data'!U80,
IF($D80=""Dolar"",'Original Data'!U80*GOOGLEFINANCE(""Currency:USDEUR""),
IF($D80=""Franco Suíço"",'Original Data'!U80*GOOGLEFINANCE(""Currency:CHFEUR""),
IF($D80=""Libra Esterlina"&amp;""", 'Original Data'!U80*GOOGLEFINANCE(""Currency:GBPEUR""),
IF($D80=""Iene"",'Original Data'!U80*GOOGLEFINANCE(""Currency:JPYEUR""),
IF($D80=""HKD"",'Original Data'!U80*GOOGLEFINANCE(""Currency:HKDEUR""),
IF($D80=""KRW"",'Original Data'!U80*GOOGLEFINANCE("&amp;"""Currency:KRWEUR""),""""))))))))"),-0.0272)</f>
        <v>-0.0272</v>
      </c>
      <c r="V80" s="8" t="str">
        <f>IFERROR(__xludf.DUMMYFUNCTION("IF('Original Data'!V80=""-"",""-"",
IF($D80=""Euro"",'Original Data'!V80,
IF($D80=""Dolar"",'Original Data'!V80*GOOGLEFINANCE(""Currency:USDEUR""),
IF($D80=""Franco Suíço"",'Original Data'!V80*GOOGLEFINANCE(""Currency:CHFEUR""),
IF($D80=""Libra Esterlina"&amp;""", 'Original Data'!V80*GOOGLEFINANCE(""Currency:GBPEUR""),
IF($D80=""Iene"",'Original Data'!V80*GOOGLEFINANCE(""Currency:JPYEUR""),
IF($D80=""HKD"",'Original Data'!V80*GOOGLEFINANCE(""Currency:HKDEUR""),
IF($D80=""KRW"",'Original Data'!V80*GOOGLEFINANCE("&amp;"""Currency:KRWEUR""),""""))))))))"),"-")</f>
        <v>-</v>
      </c>
      <c r="W80" s="7" t="s">
        <v>59</v>
      </c>
      <c r="X80" s="7" t="s">
        <v>41</v>
      </c>
      <c r="Y80" s="7" t="s">
        <v>41</v>
      </c>
      <c r="Z80" s="7" t="s">
        <v>41</v>
      </c>
      <c r="AA80" s="7" t="s">
        <v>41</v>
      </c>
      <c r="AB80" s="7" t="s">
        <v>41</v>
      </c>
      <c r="AC80" s="7" t="s">
        <v>41</v>
      </c>
      <c r="AD80" s="7" t="s">
        <v>41</v>
      </c>
      <c r="AE80" s="7" t="s">
        <v>41</v>
      </c>
      <c r="AF80" s="7" t="s">
        <v>41</v>
      </c>
      <c r="AG80" s="7" t="s">
        <v>41</v>
      </c>
    </row>
    <row r="81">
      <c r="A81" s="16" t="s">
        <v>285</v>
      </c>
      <c r="B81" s="16" t="s">
        <v>286</v>
      </c>
      <c r="C81" s="16" t="s">
        <v>287</v>
      </c>
      <c r="D81" s="7" t="s">
        <v>124</v>
      </c>
      <c r="E81" s="8">
        <f>IFERROR(__xludf.DUMMYFUNCTION("IF($D81=""Euro"",'Original Data'!E81,
IF($D81=""Dolar"",'Original Data'!E81*GOOGLEFINANCE(""Currency:USDEUR""),
IF($D81=""Franco Suíço"",'Original Data'!E81*GOOGLEFINANCE(""Currency:CHFEUR""),
IF($D81=""Libra Esterlina"", 'Original Data'!E81*GOOGLEFINANCE"&amp;"(""Currency:GBPEUR""),
IF($D81=""Iene"",'Original Data'!E81*GOOGLEFINANCE(""Currency:JPYEUR""),
IF($D81=""HKD"",'Original Data'!E81*GOOGLEFINANCE(""Currency:HKDEUR""),
IF($D81=""KRW"",'Original Data'!E81*GOOGLEFINANCE(""Currency:KRWEUR""),"""")))))))"),1576.1276416)</f>
        <v>1576.127642</v>
      </c>
      <c r="F81" s="8">
        <f>IFERROR(__xludf.DUMMYFUNCTION("IF($D81=""Euro"",'Original Data'!F81,
IF($D81=""Dolar"",'Original Data'!F81*GOOGLEFINANCE(""Currency:USDEUR""),
IF($D81=""Franco Suíço"",'Original Data'!F81*GOOGLEFINANCE(""Currency:CHFEUR""),
IF($D81=""Libra Esterlina"", 'Original Data'!F81*GOOGLEFINANCE"&amp;"(""Currency:GBPEUR""),
IF($D81=""Iene"",'Original Data'!F81*GOOGLEFINANCE(""Currency:JPYEUR""),
IF($D81=""HKD"",'Original Data'!F81*GOOGLEFINANCE(""Currency:HKDEUR""),
IF($D81=""KRW"",'Original Data'!F81*GOOGLEFINANCE(""Currency:KRWEUR""),"""")))))))"),3165.4697680000004)</f>
        <v>3165.469768</v>
      </c>
      <c r="G81" s="8">
        <f>IFERROR(__xludf.DUMMYFUNCTION("IF($D81=""Euro"",'Original Data'!G81,
IF($D81=""Dolar"",'Original Data'!G81*GOOGLEFINANCE(""Currency:USDEUR""),
IF($D81=""Franco Suíço"",'Original Data'!G81*GOOGLEFINANCE(""Currency:CHFEUR""),
IF($D81=""Libra Esterlina"", 'Original Data'!G81*GOOGLEFINANCE"&amp;"(""Currency:GBPEUR""),
IF($D81=""Iene"",'Original Data'!G81*GOOGLEFINANCE(""Currency:JPYEUR""),
IF($D81=""HKD"",'Original Data'!G81*GOOGLEFINANCE(""Currency:HKDEUR""),
IF($D81=""KRW"",'Original Data'!G81*GOOGLEFINANCE(""Currency:KRWEUR""),"""")))))))"),4.2310377696)</f>
        <v>4.23103777</v>
      </c>
      <c r="H81" s="17">
        <v>0.675662</v>
      </c>
      <c r="I81" s="7" t="s">
        <v>41</v>
      </c>
      <c r="J81" s="7" t="s">
        <v>51</v>
      </c>
      <c r="K81" s="9">
        <v>0.0306</v>
      </c>
      <c r="L81" s="9">
        <v>0.0217</v>
      </c>
      <c r="M81" s="9">
        <v>0.0678</v>
      </c>
      <c r="N81" s="8">
        <f>'Original Data'!N81</f>
        <v>-5.56</v>
      </c>
      <c r="O81" s="8">
        <f>'Original Data'!O81</f>
        <v>1.948</v>
      </c>
      <c r="P81" s="8">
        <f>'Original Data'!P81</f>
        <v>2.319</v>
      </c>
      <c r="Q81" s="8">
        <f>'Original Data'!Q81</f>
        <v>2.761</v>
      </c>
      <c r="R81" s="8">
        <f>'Original Data'!R81</f>
        <v>0.739</v>
      </c>
      <c r="S81" s="8">
        <f>'Original Data'!S81</f>
        <v>0.383</v>
      </c>
      <c r="T81" s="8">
        <f>'Original Data'!T81</f>
        <v>0.393</v>
      </c>
      <c r="U81" s="8">
        <f>'Original Data'!U81</f>
        <v>0.783</v>
      </c>
      <c r="V81" s="8">
        <f>'Original Data'!V81</f>
        <v>-0.183</v>
      </c>
      <c r="W81" s="7" t="s">
        <v>59</v>
      </c>
      <c r="X81" s="7" t="s">
        <v>52</v>
      </c>
      <c r="Y81" s="7" t="s">
        <v>41</v>
      </c>
      <c r="Z81" s="7" t="s">
        <v>41</v>
      </c>
      <c r="AA81" s="7" t="s">
        <v>41</v>
      </c>
      <c r="AB81" s="7" t="s">
        <v>41</v>
      </c>
      <c r="AC81" s="7" t="s">
        <v>41</v>
      </c>
      <c r="AD81" s="7" t="s">
        <v>41</v>
      </c>
      <c r="AE81" s="7" t="s">
        <v>41</v>
      </c>
      <c r="AF81" s="7" t="s">
        <v>41</v>
      </c>
      <c r="AG81" s="7" t="s">
        <v>41</v>
      </c>
    </row>
    <row r="82">
      <c r="A82" s="16" t="s">
        <v>288</v>
      </c>
      <c r="B82" s="16" t="s">
        <v>289</v>
      </c>
      <c r="C82" s="16" t="s">
        <v>290</v>
      </c>
      <c r="D82" s="7" t="s">
        <v>33</v>
      </c>
      <c r="E82" s="8">
        <f>IFERROR(__xludf.DUMMYFUNCTION("IF($D82=""Euro"",'Original Data'!E82,
IF($D82=""Dolar"",'Original Data'!E82*GOOGLEFINANCE(""Currency:USDEUR""),
IF($D82=""Franco Suíço"",'Original Data'!E82*GOOGLEFINANCE(""Currency:CHFEUR""),
IF($D82=""Libra Esterlina"", 'Original Data'!E82*GOOGLEFINANCE"&amp;"(""Currency:GBPEUR""),
IF($D82=""Iene"",'Original Data'!E82*GOOGLEFINANCE(""Currency:JPYEUR""),
IF($D82=""HKD"",'Original Data'!E82*GOOGLEFINANCE(""Currency:HKDEUR""),
IF($D82=""KRW"",'Original Data'!E82*GOOGLEFINANCE(""Currency:KRWEUR""),"""")))))))"),12.6)</f>
        <v>12.6</v>
      </c>
      <c r="F82" s="8">
        <f>IFERROR(__xludf.DUMMYFUNCTION("IF($D82=""Euro"",'Original Data'!F82,
IF($D82=""Dolar"",'Original Data'!F82*GOOGLEFINANCE(""Currency:USDEUR""),
IF($D82=""Franco Suíço"",'Original Data'!F82*GOOGLEFINANCE(""Currency:CHFEUR""),
IF($D82=""Libra Esterlina"", 'Original Data'!F82*GOOGLEFINANCE"&amp;"(""Currency:GBPEUR""),
IF($D82=""Iene"",'Original Data'!F82*GOOGLEFINANCE(""Currency:JPYEUR""),
IF($D82=""HKD"",'Original Data'!F82*GOOGLEFINANCE(""Currency:HKDEUR""),
IF($D82=""KRW"",'Original Data'!F82*GOOGLEFINANCE(""Currency:KRWEUR""),"""")))))))"),18.08)</f>
        <v>18.08</v>
      </c>
      <c r="G82" s="8">
        <f>IFERROR(__xludf.DUMMYFUNCTION("IF($D82=""Euro"",'Original Data'!G82,
IF($D82=""Dolar"",'Original Data'!G82*GOOGLEFINANCE(""Currency:USDEUR""),
IF($D82=""Franco Suíço"",'Original Data'!G82*GOOGLEFINANCE(""Currency:CHFEUR""),
IF($D82=""Libra Esterlina"", 'Original Data'!G82*GOOGLEFINANCE"&amp;"(""Currency:GBPEUR""),
IF($D82=""Iene"",'Original Data'!G82*GOOGLEFINANCE(""Currency:JPYEUR""),
IF($D82=""HKD"",'Original Data'!G82*GOOGLEFINANCE(""Currency:HKDEUR""),
IF($D82=""KRW"",'Original Data'!G82*GOOGLEFINANCE(""Currency:KRWEUR""),"""")))))))"),14.89)</f>
        <v>14.89</v>
      </c>
      <c r="H82" s="17">
        <v>1.463</v>
      </c>
      <c r="I82" s="7">
        <v>1136.56</v>
      </c>
      <c r="J82" s="7" t="s">
        <v>51</v>
      </c>
      <c r="K82" s="7" t="s">
        <v>51</v>
      </c>
      <c r="L82" s="7" t="s">
        <v>51</v>
      </c>
      <c r="M82" s="7" t="s">
        <v>51</v>
      </c>
      <c r="N82" s="8">
        <f>IFERROR(__xludf.DUMMYFUNCTION("IF('Original Data'!N82=""-"",""-"",
IF($D82=""Euro"",'Original Data'!N82,
IF($D82=""Dolar"",'Original Data'!N82*GOOGLEFINANCE(""Currency:USDEUR""),
IF($D82=""Franco Suíço"",'Original Data'!N82*GOOGLEFINANCE(""Currency:CHFEUR""),
IF($D82=""Libra Esterlina"&amp;""", 'Original Data'!N82*GOOGLEFINANCE(""Currency:GBPEUR""),
IF($D82=""Iene"",'Original Data'!N82*GOOGLEFINANCE(""Currency:JPYEUR""),
IF($D82=""HKD"",'Original Data'!N82*GOOGLEFINANCE(""Currency:HKDEUR""),
IF($D82=""KRW"",'Original Data'!N82*GOOGLEFINANCE("&amp;"""Currency:KRWEUR""),""""))))))))"),-0.37)</f>
        <v>-0.37</v>
      </c>
      <c r="O82" s="8">
        <f>IFERROR(__xludf.DUMMYFUNCTION("IF('Original Data'!O82=""-"",""-"",
IF($D82=""Euro"",'Original Data'!O82,
IF($D82=""Dolar"",'Original Data'!O82*GOOGLEFINANCE(""Currency:USDEUR""),
IF($D82=""Franco Suíço"",'Original Data'!O82*GOOGLEFINANCE(""Currency:CHFEUR""),
IF($D82=""Libra Esterlina"&amp;""", 'Original Data'!O82*GOOGLEFINANCE(""Currency:GBPEUR""),
IF($D82=""Iene"",'Original Data'!O82*GOOGLEFINANCE(""Currency:JPYEUR""),
IF($D82=""HKD"",'Original Data'!O82*GOOGLEFINANCE(""Currency:HKDEUR""),
IF($D82=""KRW"",'Original Data'!O82*GOOGLEFINANCE("&amp;"""Currency:KRWEUR""),""""))))))))"),7.427)</f>
        <v>7.427</v>
      </c>
      <c r="P82" s="8">
        <f>IFERROR(__xludf.DUMMYFUNCTION("IF('Original Data'!P82=""-"",""-"",
IF($D82=""Euro"",'Original Data'!P82,
IF($D82=""Dolar"",'Original Data'!P82*GOOGLEFINANCE(""Currency:USDEUR""),
IF($D82=""Franco Suíço"",'Original Data'!P82*GOOGLEFINANCE(""Currency:CHFEUR""),
IF($D82=""Libra Esterlina"&amp;""", 'Original Data'!P82*GOOGLEFINANCE(""Currency:GBPEUR""),
IF($D82=""Iene"",'Original Data'!P82*GOOGLEFINANCE(""Currency:JPYEUR""),
IF($D82=""HKD"",'Original Data'!P82*GOOGLEFINANCE(""Currency:HKDEUR""),
IF($D82=""KRW"",'Original Data'!P82*GOOGLEFINANCE("&amp;"""Currency:KRWEUR""),""""))))))))"),12.615)</f>
        <v>12.615</v>
      </c>
      <c r="Q82" s="8">
        <f>IFERROR(__xludf.DUMMYFUNCTION("IF('Original Data'!Q82=""-"",""-"",
IF($D82=""Euro"",'Original Data'!Q82,
IF($D82=""Dolar"",'Original Data'!Q82*GOOGLEFINANCE(""Currency:USDEUR""),
IF($D82=""Franco Suíço"",'Original Data'!Q82*GOOGLEFINANCE(""Currency:CHFEUR""),
IF($D82=""Libra Esterlina"&amp;""", 'Original Data'!Q82*GOOGLEFINANCE(""Currency:GBPEUR""),
IF($D82=""Iene"",'Original Data'!Q82*GOOGLEFINANCE(""Currency:JPYEUR""),
IF($D82=""HKD"",'Original Data'!Q82*GOOGLEFINANCE(""Currency:HKDEUR""),
IF($D82=""KRW"",'Original Data'!Q82*GOOGLEFINANCE("&amp;"""Currency:KRWEUR""),""""))))))))"),5.26)</f>
        <v>5.26</v>
      </c>
      <c r="R82" s="8">
        <f>IFERROR(__xludf.DUMMYFUNCTION("IF('Original Data'!R82=""-"",""-"",
IF($D82=""Euro"",'Original Data'!R82,
IF($D82=""Dolar"",'Original Data'!R82*GOOGLEFINANCE(""Currency:USDEUR""),
IF($D82=""Franco Suíço"",'Original Data'!R82*GOOGLEFINANCE(""Currency:CHFEUR""),
IF($D82=""Libra Esterlina"&amp;""", 'Original Data'!R82*GOOGLEFINANCE(""Currency:GBPEUR""),
IF($D82=""Iene"",'Original Data'!R82*GOOGLEFINANCE(""Currency:JPYEUR""),
IF($D82=""HKD"",'Original Data'!R82*GOOGLEFINANCE(""Currency:HKDEUR""),
IF($D82=""KRW"",'Original Data'!R82*GOOGLEFINANCE("&amp;"""Currency:KRWEUR""),""""))))))))"),6.391)</f>
        <v>6.391</v>
      </c>
      <c r="S82" s="8">
        <f>IFERROR(__xludf.DUMMYFUNCTION("IF('Original Data'!S82=""-"",""-"",
IF($D82=""Euro"",'Original Data'!S82,
IF($D82=""Dolar"",'Original Data'!S82*GOOGLEFINANCE(""Currency:USDEUR""),
IF($D82=""Franco Suíço"",'Original Data'!S82*GOOGLEFINANCE(""Currency:CHFEUR""),
IF($D82=""Libra Esterlina"&amp;""", 'Original Data'!S82*GOOGLEFINANCE(""Currency:GBPEUR""),
IF($D82=""Iene"",'Original Data'!S82*GOOGLEFINANCE(""Currency:JPYEUR""),
IF($D82=""HKD"",'Original Data'!S82*GOOGLEFINANCE(""Currency:HKDEUR""),
IF($D82=""KRW"",'Original Data'!S82*GOOGLEFINANCE("&amp;"""Currency:KRWEUR""),""""))))))))"),3.768)</f>
        <v>3.768</v>
      </c>
      <c r="T82" s="8">
        <f>IFERROR(__xludf.DUMMYFUNCTION("IF('Original Data'!T82=""-"",""-"",
IF($D82=""Euro"",'Original Data'!T82,
IF($D82=""Dolar"",'Original Data'!T82*GOOGLEFINANCE(""Currency:USDEUR""),
IF($D82=""Franco Suíço"",'Original Data'!T82*GOOGLEFINANCE(""Currency:CHFEUR""),
IF($D82=""Libra Esterlina"&amp;""", 'Original Data'!T82*GOOGLEFINANCE(""Currency:GBPEUR""),
IF($D82=""Iene"",'Original Data'!T82*GOOGLEFINANCE(""Currency:JPYEUR""),
IF($D82=""HKD"",'Original Data'!T82*GOOGLEFINANCE(""Currency:HKDEUR""),
IF($D82=""KRW"",'Original Data'!T82*GOOGLEFINANCE("&amp;"""Currency:KRWEUR""),""""))))))))"),7.203)</f>
        <v>7.203</v>
      </c>
      <c r="U82" s="8">
        <f>IFERROR(__xludf.DUMMYFUNCTION("IF('Original Data'!U82=""-"",""-"",
IF($D82=""Euro"",'Original Data'!U82,
IF($D82=""Dolar"",'Original Data'!U82*GOOGLEFINANCE(""Currency:USDEUR""),
IF($D82=""Franco Suíço"",'Original Data'!U82*GOOGLEFINANCE(""Currency:CHFEUR""),
IF($D82=""Libra Esterlina"&amp;""", 'Original Data'!U82*GOOGLEFINANCE(""Currency:GBPEUR""),
IF($D82=""Iene"",'Original Data'!U82*GOOGLEFINANCE(""Currency:JPYEUR""),
IF($D82=""HKD"",'Original Data'!U82*GOOGLEFINANCE(""Currency:HKDEUR""),
IF($D82=""KRW"",'Original Data'!U82*GOOGLEFINANCE("&amp;"""Currency:KRWEUR""),""""))))))))"),3.701)</f>
        <v>3.701</v>
      </c>
      <c r="V82" s="8">
        <f>IFERROR(__xludf.DUMMYFUNCTION("IF('Original Data'!V82=""-"",""-"",
IF($D82=""Euro"",'Original Data'!V82,
IF($D82=""Dolar"",'Original Data'!V82*GOOGLEFINANCE(""Currency:USDEUR""),
IF($D82=""Franco Suíço"",'Original Data'!V82*GOOGLEFINANCE(""Currency:CHFEUR""),
IF($D82=""Libra Esterlina"&amp;""", 'Original Data'!V82*GOOGLEFINANCE(""Currency:GBPEUR""),
IF($D82=""Iene"",'Original Data'!V82*GOOGLEFINANCE(""Currency:JPYEUR""),
IF($D82=""HKD"",'Original Data'!V82*GOOGLEFINANCE(""Currency:HKDEUR""),
IF($D82=""KRW"",'Original Data'!V82*GOOGLEFINANCE("&amp;"""Currency:KRWEUR""),""""))))))))"),4.029)</f>
        <v>4.029</v>
      </c>
      <c r="W82" s="7" t="s">
        <v>43</v>
      </c>
      <c r="X82" s="7" t="s">
        <v>43</v>
      </c>
      <c r="Y82" s="7" t="s">
        <v>41</v>
      </c>
      <c r="Z82" s="7" t="s">
        <v>41</v>
      </c>
      <c r="AA82" s="7" t="s">
        <v>41</v>
      </c>
      <c r="AB82" s="7" t="s">
        <v>41</v>
      </c>
      <c r="AC82" s="7">
        <v>15.0</v>
      </c>
      <c r="AD82" s="7">
        <v>0.9</v>
      </c>
      <c r="AE82" s="7">
        <v>9.5</v>
      </c>
      <c r="AF82" s="7">
        <v>4.2</v>
      </c>
      <c r="AG82" s="7">
        <v>5.0</v>
      </c>
    </row>
    <row r="83">
      <c r="A83" s="16" t="s">
        <v>291</v>
      </c>
      <c r="B83" s="16" t="s">
        <v>292</v>
      </c>
      <c r="C83" s="16" t="s">
        <v>293</v>
      </c>
      <c r="D83" s="7" t="s">
        <v>33</v>
      </c>
      <c r="E83" s="8">
        <f>IFERROR(__xludf.DUMMYFUNCTION("IF($D83=""Euro"",'Original Data'!E83,
IF($D83=""Dolar"",'Original Data'!E83*GOOGLEFINANCE(""Currency:USDEUR""),
IF($D83=""Franco Suíço"",'Original Data'!E83*GOOGLEFINANCE(""Currency:CHFEUR""),
IF($D83=""Libra Esterlina"", 'Original Data'!E83*GOOGLEFINANCE"&amp;"(""Currency:GBPEUR""),
IF($D83=""Iene"",'Original Data'!E83*GOOGLEFINANCE(""Currency:JPYEUR""),
IF($D83=""HKD"",'Original Data'!E83*GOOGLEFINANCE(""Currency:HKDEUR""),
IF($D83=""KRW"",'Original Data'!E83*GOOGLEFINANCE(""Currency:KRWEUR""),"""")))))))"),5.105)</f>
        <v>5.105</v>
      </c>
      <c r="F83" s="8">
        <f>IFERROR(__xludf.DUMMYFUNCTION("IF($D83=""Euro"",'Original Data'!F83,
IF($D83=""Dolar"",'Original Data'!F83*GOOGLEFINANCE(""Currency:USDEUR""),
IF($D83=""Franco Suíço"",'Original Data'!F83*GOOGLEFINANCE(""Currency:CHFEUR""),
IF($D83=""Libra Esterlina"", 'Original Data'!F83*GOOGLEFINANCE"&amp;"(""Currency:GBPEUR""),
IF($D83=""Iene"",'Original Data'!F83*GOOGLEFINANCE(""Currency:JPYEUR""),
IF($D83=""HKD"",'Original Data'!F83*GOOGLEFINANCE(""Currency:HKDEUR""),
IF($D83=""KRW"",'Original Data'!F83*GOOGLEFINANCE(""Currency:KRWEUR""),"""")))))))"),4.543)</f>
        <v>4.543</v>
      </c>
      <c r="G83" s="8">
        <f>IFERROR(__xludf.DUMMYFUNCTION("IF($D83=""Euro"",'Original Data'!G83,
IF($D83=""Dolar"",'Original Data'!G83*GOOGLEFINANCE(""Currency:USDEUR""),
IF($D83=""Franco Suíço"",'Original Data'!G83*GOOGLEFINANCE(""Currency:CHFEUR""),
IF($D83=""Libra Esterlina"", 'Original Data'!G83*GOOGLEFINANCE"&amp;"(""Currency:GBPEUR""),
IF($D83=""Iene"",'Original Data'!G83*GOOGLEFINANCE(""Currency:JPYEUR""),
IF($D83=""HKD"",'Original Data'!G83*GOOGLEFINANCE(""Currency:HKDEUR""),
IF($D83=""KRW"",'Original Data'!G83*GOOGLEFINANCE(""Currency:KRWEUR""),"""")))))))"),9.319)</f>
        <v>9.319</v>
      </c>
      <c r="H83" s="17">
        <v>11.535</v>
      </c>
      <c r="I83" s="7">
        <v>5.95</v>
      </c>
      <c r="J83" s="9">
        <v>0.0374</v>
      </c>
      <c r="K83" s="7" t="s">
        <v>51</v>
      </c>
      <c r="L83" s="9">
        <v>0.003</v>
      </c>
      <c r="M83" s="9">
        <v>0.048</v>
      </c>
      <c r="N83" s="8">
        <f>IFERROR(__xludf.DUMMYFUNCTION("IF('Original Data'!N83=""-"",""-"",
IF($D83=""Euro"",'Original Data'!N83,
IF($D83=""Dolar"",'Original Data'!N83*GOOGLEFINANCE(""Currency:USDEUR""),
IF($D83=""Franco Suíço"",'Original Data'!N83*GOOGLEFINANCE(""Currency:CHFEUR""),
IF($D83=""Libra Esterlina"&amp;""", 'Original Data'!N83*GOOGLEFINANCE(""Currency:GBPEUR""),
IF($D83=""Iene"",'Original Data'!N83*GOOGLEFINANCE(""Currency:JPYEUR""),
IF($D83=""HKD"",'Original Data'!N83*GOOGLEFINANCE(""Currency:HKDEUR""),
IF($D83=""KRW"",'Original Data'!N83*GOOGLEFINANCE("&amp;"""Currency:KRWEUR""),""""))))))))"),0.78)</f>
        <v>0.78</v>
      </c>
      <c r="O83" s="8">
        <f>IFERROR(__xludf.DUMMYFUNCTION("IF('Original Data'!O83=""-"",""-"",
IF($D83=""Euro"",'Original Data'!O83,
IF($D83=""Dolar"",'Original Data'!O83*GOOGLEFINANCE(""Currency:USDEUR""),
IF($D83=""Franco Suíço"",'Original Data'!O83*GOOGLEFINANCE(""Currency:CHFEUR""),
IF($D83=""Libra Esterlina"&amp;""", 'Original Data'!O83*GOOGLEFINANCE(""Currency:GBPEUR""),
IF($D83=""Iene"",'Original Data'!O83*GOOGLEFINANCE(""Currency:JPYEUR""),
IF($D83=""HKD"",'Original Data'!O83*GOOGLEFINANCE(""Currency:HKDEUR""),
IF($D83=""KRW"",'Original Data'!O83*GOOGLEFINANCE("&amp;"""Currency:KRWEUR""),""""))))))))"),20.819)</f>
        <v>20.819</v>
      </c>
      <c r="P83" s="8">
        <f>IFERROR(__xludf.DUMMYFUNCTION("IF('Original Data'!P83=""-"",""-"",
IF($D83=""Euro"",'Original Data'!P83,
IF($D83=""Dolar"",'Original Data'!P83*GOOGLEFINANCE(""Currency:USDEUR""),
IF($D83=""Franco Suíço"",'Original Data'!P83*GOOGLEFINANCE(""Currency:CHFEUR""),
IF($D83=""Libra Esterlina"&amp;""", 'Original Data'!P83*GOOGLEFINANCE(""Currency:GBPEUR""),
IF($D83=""Iene"",'Original Data'!P83*GOOGLEFINANCE(""Currency:JPYEUR""),
IF($D83=""HKD"",'Original Data'!P83*GOOGLEFINANCE(""Currency:HKDEUR""),
IF($D83=""KRW"",'Original Data'!P83*GOOGLEFINANCE("&amp;"""Currency:KRWEUR""),""""))))))))"),67.489)</f>
        <v>67.489</v>
      </c>
      <c r="Q83" s="8">
        <f>IFERROR(__xludf.DUMMYFUNCTION("IF('Original Data'!Q83=""-"",""-"",
IF($D83=""Euro"",'Original Data'!Q83,
IF($D83=""Dolar"",'Original Data'!Q83*GOOGLEFINANCE(""Currency:USDEUR""),
IF($D83=""Franco Suíço"",'Original Data'!Q83*GOOGLEFINANCE(""Currency:CHFEUR""),
IF($D83=""Libra Esterlina"&amp;""", 'Original Data'!Q83*GOOGLEFINANCE(""Currency:GBPEUR""),
IF($D83=""Iene"",'Original Data'!Q83*GOOGLEFINANCE(""Currency:JPYEUR""),
IF($D83=""HKD"",'Original Data'!Q83*GOOGLEFINANCE(""Currency:HKDEUR""),
IF($D83=""KRW"",'Original Data'!Q83*GOOGLEFINANCE("&amp;"""Currency:KRWEUR""),""""))))))))"),51.346)</f>
        <v>51.346</v>
      </c>
      <c r="R83" s="8">
        <f>IFERROR(__xludf.DUMMYFUNCTION("IF('Original Data'!R83=""-"",""-"",
IF($D83=""Euro"",'Original Data'!R83,
IF($D83=""Dolar"",'Original Data'!R83*GOOGLEFINANCE(""Currency:USDEUR""),
IF($D83=""Franco Suíço"",'Original Data'!R83*GOOGLEFINANCE(""Currency:CHFEUR""),
IF($D83=""Libra Esterlina"&amp;""", 'Original Data'!R83*GOOGLEFINANCE(""Currency:GBPEUR""),
IF($D83=""Iene"",'Original Data'!R83*GOOGLEFINANCE(""Currency:JPYEUR""),
IF($D83=""HKD"",'Original Data'!R83*GOOGLEFINANCE(""Currency:HKDEUR""),
IF($D83=""KRW"",'Original Data'!R83*GOOGLEFINANCE("&amp;"""Currency:KRWEUR""),""""))))))))"),52.977)</f>
        <v>52.977</v>
      </c>
      <c r="S83" s="8" t="str">
        <f>IFERROR(__xludf.DUMMYFUNCTION("IF('Original Data'!S83=""-"",""-"",
IF($D83=""Euro"",'Original Data'!S83,
IF($D83=""Dolar"",'Original Data'!S83*GOOGLEFINANCE(""Currency:USDEUR""),
IF($D83=""Franco Suíço"",'Original Data'!S83*GOOGLEFINANCE(""Currency:CHFEUR""),
IF($D83=""Libra Esterlina"&amp;""", 'Original Data'!S83*GOOGLEFINANCE(""Currency:GBPEUR""),
IF($D83=""Iene"",'Original Data'!S83*GOOGLEFINANCE(""Currency:JPYEUR""),
IF($D83=""HKD"",'Original Data'!S83*GOOGLEFINANCE(""Currency:HKDEUR""),
IF($D83=""KRW"",'Original Data'!S83*GOOGLEFINANCE("&amp;"""Currency:KRWEUR""),""""))))))))"),"-")</f>
        <v>-</v>
      </c>
      <c r="T83" s="8" t="str">
        <f>IFERROR(__xludf.DUMMYFUNCTION("IF('Original Data'!T83=""-"",""-"",
IF($D83=""Euro"",'Original Data'!T83,
IF($D83=""Dolar"",'Original Data'!T83*GOOGLEFINANCE(""Currency:USDEUR""),
IF($D83=""Franco Suíço"",'Original Data'!T83*GOOGLEFINANCE(""Currency:CHFEUR""),
IF($D83=""Libra Esterlina"&amp;""", 'Original Data'!T83*GOOGLEFINANCE(""Currency:GBPEUR""),
IF($D83=""Iene"",'Original Data'!T83*GOOGLEFINANCE(""Currency:JPYEUR""),
IF($D83=""HKD"",'Original Data'!T83*GOOGLEFINANCE(""Currency:HKDEUR""),
IF($D83=""KRW"",'Original Data'!T83*GOOGLEFINANCE("&amp;"""Currency:KRWEUR""),""""))))))))"),"-")</f>
        <v>-</v>
      </c>
      <c r="U83" s="8" t="str">
        <f>IFERROR(__xludf.DUMMYFUNCTION("IF('Original Data'!U83=""-"",""-"",
IF($D83=""Euro"",'Original Data'!U83,
IF($D83=""Dolar"",'Original Data'!U83*GOOGLEFINANCE(""Currency:USDEUR""),
IF($D83=""Franco Suíço"",'Original Data'!U83*GOOGLEFINANCE(""Currency:CHFEUR""),
IF($D83=""Libra Esterlina"&amp;""", 'Original Data'!U83*GOOGLEFINANCE(""Currency:GBPEUR""),
IF($D83=""Iene"",'Original Data'!U83*GOOGLEFINANCE(""Currency:JPYEUR""),
IF($D83=""HKD"",'Original Data'!U83*GOOGLEFINANCE(""Currency:HKDEUR""),
IF($D83=""KRW"",'Original Data'!U83*GOOGLEFINANCE("&amp;"""Currency:KRWEUR""),""""))))))))"),"-")</f>
        <v>-</v>
      </c>
      <c r="V83" s="8" t="str">
        <f>IFERROR(__xludf.DUMMYFUNCTION("IF('Original Data'!V83=""-"",""-"",
IF($D83=""Euro"",'Original Data'!V83,
IF($D83=""Dolar"",'Original Data'!V83*GOOGLEFINANCE(""Currency:USDEUR""),
IF($D83=""Franco Suíço"",'Original Data'!V83*GOOGLEFINANCE(""Currency:CHFEUR""),
IF($D83=""Libra Esterlina"&amp;""", 'Original Data'!V83*GOOGLEFINANCE(""Currency:GBPEUR""),
IF($D83=""Iene"",'Original Data'!V83*GOOGLEFINANCE(""Currency:JPYEUR""),
IF($D83=""HKD"",'Original Data'!V83*GOOGLEFINANCE(""Currency:HKDEUR""),
IF($D83=""KRW"",'Original Data'!V83*GOOGLEFINANCE("&amp;"""Currency:KRWEUR""),""""))))))))"),"-")</f>
        <v>-</v>
      </c>
      <c r="W83" s="7" t="s">
        <v>52</v>
      </c>
      <c r="X83" s="7" t="s">
        <v>52</v>
      </c>
      <c r="Y83" s="7" t="s">
        <v>41</v>
      </c>
      <c r="Z83" s="7" t="s">
        <v>41</v>
      </c>
      <c r="AA83" s="7" t="s">
        <v>41</v>
      </c>
      <c r="AB83" s="7" t="s">
        <v>41</v>
      </c>
      <c r="AC83" s="7">
        <v>15.0</v>
      </c>
      <c r="AD83" s="7">
        <v>0.5</v>
      </c>
      <c r="AE83" s="7">
        <v>7.7</v>
      </c>
      <c r="AF83" s="7">
        <v>6.4</v>
      </c>
      <c r="AG83" s="7">
        <v>3.0</v>
      </c>
    </row>
    <row r="84">
      <c r="A84" s="16" t="s">
        <v>294</v>
      </c>
      <c r="B84" s="16" t="s">
        <v>295</v>
      </c>
      <c r="C84" s="16" t="s">
        <v>296</v>
      </c>
      <c r="D84" s="7" t="s">
        <v>33</v>
      </c>
      <c r="E84" s="8">
        <f>IFERROR(__xludf.DUMMYFUNCTION("IF($D84=""Euro"",'Original Data'!E84,
IF($D84=""Dolar"",'Original Data'!E84*GOOGLEFINANCE(""Currency:USDEUR""),
IF($D84=""Franco Suíço"",'Original Data'!E84*GOOGLEFINANCE(""Currency:CHFEUR""),
IF($D84=""Libra Esterlina"", 'Original Data'!E84*GOOGLEFINANCE"&amp;"(""Currency:GBPEUR""),
IF($D84=""Iene"",'Original Data'!E84*GOOGLEFINANCE(""Currency:JPYEUR""),
IF($D84=""HKD"",'Original Data'!E84*GOOGLEFINANCE(""Currency:HKDEUR""),
IF($D84=""KRW"",'Original Data'!E84*GOOGLEFINANCE(""Currency:KRWEUR""),"""")))))))"),26.64)</f>
        <v>26.64</v>
      </c>
      <c r="F84" s="8">
        <f>IFERROR(__xludf.DUMMYFUNCTION("IF($D84=""Euro"",'Original Data'!F84,
IF($D84=""Dolar"",'Original Data'!F84*GOOGLEFINANCE(""Currency:USDEUR""),
IF($D84=""Franco Suíço"",'Original Data'!F84*GOOGLEFINANCE(""Currency:CHFEUR""),
IF($D84=""Libra Esterlina"", 'Original Data'!F84*GOOGLEFINANCE"&amp;"(""Currency:GBPEUR""),
IF($D84=""Iene"",'Original Data'!F84*GOOGLEFINANCE(""Currency:JPYEUR""),
IF($D84=""HKD"",'Original Data'!F84*GOOGLEFINANCE(""Currency:HKDEUR""),
IF($D84=""KRW"",'Original Data'!F84*GOOGLEFINANCE(""Currency:KRWEUR""),"""")))))))"),29.02)</f>
        <v>29.02</v>
      </c>
      <c r="G84" s="8">
        <f>IFERROR(__xludf.DUMMYFUNCTION("IF($D84=""Euro"",'Original Data'!G84,
IF($D84=""Dolar"",'Original Data'!G84*GOOGLEFINANCE(""Currency:USDEUR""),
IF($D84=""Franco Suíço"",'Original Data'!G84*GOOGLEFINANCE(""Currency:CHFEUR""),
IF($D84=""Libra Esterlina"", 'Original Data'!G84*GOOGLEFINANCE"&amp;"(""Currency:GBPEUR""),
IF($D84=""Iene"",'Original Data'!G84*GOOGLEFINANCE(""Currency:JPYEUR""),
IF($D84=""HKD"",'Original Data'!G84*GOOGLEFINANCE(""Currency:HKDEUR""),
IF($D84=""KRW"",'Original Data'!G84*GOOGLEFINANCE(""Currency:KRWEUR""),"""")))))))"),7.489)</f>
        <v>7.489</v>
      </c>
      <c r="H84" s="17">
        <v>0.881329</v>
      </c>
      <c r="I84" s="7">
        <v>149.74</v>
      </c>
      <c r="J84" s="7" t="s">
        <v>51</v>
      </c>
      <c r="K84" s="9">
        <v>-0.0283</v>
      </c>
      <c r="L84" s="9">
        <v>-0.0226</v>
      </c>
      <c r="M84" s="9">
        <v>-0.0591</v>
      </c>
      <c r="N84" s="8">
        <f>IFERROR(__xludf.DUMMYFUNCTION("IF('Original Data'!N84=""-"",""-"",
IF($D84=""Euro"",'Original Data'!N84,
IF($D84=""Dolar"",'Original Data'!N84*GOOGLEFINANCE(""Currency:USDEUR""),
IF($D84=""Franco Suíço"",'Original Data'!N84*GOOGLEFINANCE(""Currency:CHFEUR""),
IF($D84=""Libra Esterlina"&amp;""", 'Original Data'!N84*GOOGLEFINANCE(""Currency:GBPEUR""),
IF($D84=""Iene"",'Original Data'!N84*GOOGLEFINANCE(""Currency:JPYEUR""),
IF($D84=""HKD"",'Original Data'!N84*GOOGLEFINANCE(""Currency:HKDEUR""),
IF($D84=""KRW"",'Original Data'!N84*GOOGLEFINANCE("&amp;"""Currency:KRWEUR""),""""))))))))"),-0.1)</f>
        <v>-0.1</v>
      </c>
      <c r="O84" s="8">
        <f>IFERROR(__xludf.DUMMYFUNCTION("IF('Original Data'!O84=""-"",""-"",
IF($D84=""Euro"",'Original Data'!O84,
IF($D84=""Dolar"",'Original Data'!O84*GOOGLEFINANCE(""Currency:USDEUR""),
IF($D84=""Franco Suíço"",'Original Data'!O84*GOOGLEFINANCE(""Currency:CHFEUR""),
IF($D84=""Libra Esterlina"&amp;""", 'Original Data'!O84*GOOGLEFINANCE(""Currency:GBPEUR""),
IF($D84=""Iene"",'Original Data'!O84*GOOGLEFINANCE(""Currency:JPYEUR""),
IF($D84=""HKD"",'Original Data'!O84*GOOGLEFINANCE(""Currency:HKDEUR""),
IF($D84=""KRW"",'Original Data'!O84*GOOGLEFINANCE("&amp;"""Currency:KRWEUR""),""""))))))))"),3.28)</f>
        <v>3.28</v>
      </c>
      <c r="P84" s="8">
        <f>IFERROR(__xludf.DUMMYFUNCTION("IF('Original Data'!P84=""-"",""-"",
IF($D84=""Euro"",'Original Data'!P84,
IF($D84=""Dolar"",'Original Data'!P84*GOOGLEFINANCE(""Currency:USDEUR""),
IF($D84=""Franco Suíço"",'Original Data'!P84*GOOGLEFINANCE(""Currency:CHFEUR""),
IF($D84=""Libra Esterlina"&amp;""", 'Original Data'!P84*GOOGLEFINANCE(""Currency:GBPEUR""),
IF($D84=""Iene"",'Original Data'!P84*GOOGLEFINANCE(""Currency:JPYEUR""),
IF($D84=""HKD"",'Original Data'!P84*GOOGLEFINANCE(""Currency:HKDEUR""),
IF($D84=""KRW"",'Original Data'!P84*GOOGLEFINANCE("&amp;"""Currency:KRWEUR""),""""))))))))"),4.05)</f>
        <v>4.05</v>
      </c>
      <c r="Q84" s="8">
        <f>IFERROR(__xludf.DUMMYFUNCTION("IF('Original Data'!Q84=""-"",""-"",
IF($D84=""Euro"",'Original Data'!Q84,
IF($D84=""Dolar"",'Original Data'!Q84*GOOGLEFINANCE(""Currency:USDEUR""),
IF($D84=""Franco Suíço"",'Original Data'!Q84*GOOGLEFINANCE(""Currency:CHFEUR""),
IF($D84=""Libra Esterlina"&amp;""", 'Original Data'!Q84*GOOGLEFINANCE(""Currency:GBPEUR""),
IF($D84=""Iene"",'Original Data'!Q84*GOOGLEFINANCE(""Currency:JPYEUR""),
IF($D84=""HKD"",'Original Data'!Q84*GOOGLEFINANCE(""Currency:HKDEUR""),
IF($D84=""KRW"",'Original Data'!Q84*GOOGLEFINANCE("&amp;"""Currency:KRWEUR""),""""))))))))"),1.62)</f>
        <v>1.62</v>
      </c>
      <c r="R84" s="8">
        <f>IFERROR(__xludf.DUMMYFUNCTION("IF('Original Data'!R84=""-"",""-"",
IF($D84=""Euro"",'Original Data'!R84,
IF($D84=""Dolar"",'Original Data'!R84*GOOGLEFINANCE(""Currency:USDEUR""),
IF($D84=""Franco Suíço"",'Original Data'!R84*GOOGLEFINANCE(""Currency:CHFEUR""),
IF($D84=""Libra Esterlina"&amp;""", 'Original Data'!R84*GOOGLEFINANCE(""Currency:GBPEUR""),
IF($D84=""Iene"",'Original Data'!R84*GOOGLEFINANCE(""Currency:JPYEUR""),
IF($D84=""HKD"",'Original Data'!R84*GOOGLEFINANCE(""Currency:HKDEUR""),
IF($D84=""KRW"",'Original Data'!R84*GOOGLEFINANCE("&amp;"""Currency:KRWEUR""),""""))))))))"),2.2)</f>
        <v>2.2</v>
      </c>
      <c r="S84" s="8">
        <f>IFERROR(__xludf.DUMMYFUNCTION("IF('Original Data'!S84=""-"",""-"",
IF($D84=""Euro"",'Original Data'!S84,
IF($D84=""Dolar"",'Original Data'!S84*GOOGLEFINANCE(""Currency:USDEUR""),
IF($D84=""Franco Suíço"",'Original Data'!S84*GOOGLEFINANCE(""Currency:CHFEUR""),
IF($D84=""Libra Esterlina"&amp;""", 'Original Data'!S84*GOOGLEFINANCE(""Currency:GBPEUR""),
IF($D84=""Iene"",'Original Data'!S84*GOOGLEFINANCE(""Currency:JPYEUR""),
IF($D84=""HKD"",'Original Data'!S84*GOOGLEFINANCE(""Currency:HKDEUR""),
IF($D84=""KRW"",'Original Data'!S84*GOOGLEFINANCE("&amp;"""Currency:KRWEUR""),""""))))))))"),0.625)</f>
        <v>0.625</v>
      </c>
      <c r="T84" s="8">
        <f>IFERROR(__xludf.DUMMYFUNCTION("IF('Original Data'!T84=""-"",""-"",
IF($D84=""Euro"",'Original Data'!T84,
IF($D84=""Dolar"",'Original Data'!T84*GOOGLEFINANCE(""Currency:USDEUR""),
IF($D84=""Franco Suíço"",'Original Data'!T84*GOOGLEFINANCE(""Currency:CHFEUR""),
IF($D84=""Libra Esterlina"&amp;""", 'Original Data'!T84*GOOGLEFINANCE(""Currency:GBPEUR""),
IF($D84=""Iene"",'Original Data'!T84*GOOGLEFINANCE(""Currency:JPYEUR""),
IF($D84=""HKD"",'Original Data'!T84*GOOGLEFINANCE(""Currency:HKDEUR""),
IF($D84=""KRW"",'Original Data'!T84*GOOGLEFINANCE("&amp;"""Currency:KRWEUR""),""""))))))))"),0.862)</f>
        <v>0.862</v>
      </c>
      <c r="U84" s="8">
        <f>IFERROR(__xludf.DUMMYFUNCTION("IF('Original Data'!U84=""-"",""-"",
IF($D84=""Euro"",'Original Data'!U84,
IF($D84=""Dolar"",'Original Data'!U84*GOOGLEFINANCE(""Currency:USDEUR""),
IF($D84=""Franco Suíço"",'Original Data'!U84*GOOGLEFINANCE(""Currency:CHFEUR""),
IF($D84=""Libra Esterlina"&amp;""", 'Original Data'!U84*GOOGLEFINANCE(""Currency:GBPEUR""),
IF($D84=""Iene"",'Original Data'!U84*GOOGLEFINANCE(""Currency:JPYEUR""),
IF($D84=""HKD"",'Original Data'!U84*GOOGLEFINANCE(""Currency:HKDEUR""),
IF($D84=""KRW"",'Original Data'!U84*GOOGLEFINANCE("&amp;"""Currency:KRWEUR""),""""))))))))"),-0.391)</f>
        <v>-0.391</v>
      </c>
      <c r="V84" s="8" t="str">
        <f>IFERROR(__xludf.DUMMYFUNCTION("IF('Original Data'!V84=""-"",""-"",
IF($D84=""Euro"",'Original Data'!V84,
IF($D84=""Dolar"",'Original Data'!V84*GOOGLEFINANCE(""Currency:USDEUR""),
IF($D84=""Franco Suíço"",'Original Data'!V84*GOOGLEFINANCE(""Currency:CHFEUR""),
IF($D84=""Libra Esterlina"&amp;""", 'Original Data'!V84*GOOGLEFINANCE(""Currency:GBPEUR""),
IF($D84=""Iene"",'Original Data'!V84*GOOGLEFINANCE(""Currency:JPYEUR""),
IF($D84=""HKD"",'Original Data'!V84*GOOGLEFINANCE(""Currency:HKDEUR""),
IF($D84=""KRW"",'Original Data'!V84*GOOGLEFINANCE("&amp;"""Currency:KRWEUR""),""""))))))))"),"-")</f>
        <v>-</v>
      </c>
      <c r="W84" s="7" t="s">
        <v>35</v>
      </c>
      <c r="X84" s="7" t="s">
        <v>35</v>
      </c>
      <c r="Y84" s="7" t="s">
        <v>41</v>
      </c>
      <c r="Z84" s="7" t="s">
        <v>41</v>
      </c>
      <c r="AA84" s="7" t="s">
        <v>59</v>
      </c>
      <c r="AB84" s="7" t="s">
        <v>43</v>
      </c>
      <c r="AC84" s="7">
        <v>18.0</v>
      </c>
      <c r="AD84" s="7">
        <v>6.8</v>
      </c>
      <c r="AE84" s="7">
        <v>7.2</v>
      </c>
      <c r="AF84" s="7">
        <v>4.3</v>
      </c>
      <c r="AG84" s="7">
        <v>2.0</v>
      </c>
    </row>
    <row r="85">
      <c r="A85" s="16" t="s">
        <v>297</v>
      </c>
      <c r="B85" s="16" t="s">
        <v>298</v>
      </c>
      <c r="C85" s="16" t="s">
        <v>299</v>
      </c>
      <c r="D85" s="7" t="s">
        <v>40</v>
      </c>
      <c r="E85" s="8">
        <f>IFERROR(__xludf.DUMMYFUNCTION("IF($D85=""Euro"",'Original Data'!E85,
IF($D85=""Dolar"",'Original Data'!E85*GOOGLEFINANCE(""Currency:USDEUR""),
IF($D85=""Franco Suíço"",'Original Data'!E85*GOOGLEFINANCE(""Currency:CHFEUR""),
IF($D85=""Libra Esterlina"", 'Original Data'!E85*GOOGLEFINANCE"&amp;"(""Currency:GBPEUR""),
IF($D85=""Iene"",'Original Data'!E85*GOOGLEFINANCE(""Currency:JPYEUR""),
IF($D85=""HKD"",'Original Data'!E85*GOOGLEFINANCE(""Currency:HKDEUR""),
IF($D85=""KRW"",'Original Data'!E85*GOOGLEFINANCE(""Currency:KRWEUR""),"""")))))))"),3.6759999999999997)</f>
        <v>3.676</v>
      </c>
      <c r="F85" s="8">
        <f>IFERROR(__xludf.DUMMYFUNCTION("IF($D85=""Euro"",'Original Data'!F85,
IF($D85=""Dolar"",'Original Data'!F85*GOOGLEFINANCE(""Currency:USDEUR""),
IF($D85=""Franco Suíço"",'Original Data'!F85*GOOGLEFINANCE(""Currency:CHFEUR""),
IF($D85=""Libra Esterlina"", 'Original Data'!F85*GOOGLEFINANCE"&amp;"(""Currency:GBPEUR""),
IF($D85=""Iene"",'Original Data'!F85*GOOGLEFINANCE(""Currency:JPYEUR""),
IF($D85=""HKD"",'Original Data'!F85*GOOGLEFINANCE(""Currency:HKDEUR""),
IF($D85=""KRW"",'Original Data'!F85*GOOGLEFINANCE(""Currency:KRWEUR""),"""")))))))"),17.396669999999997)</f>
        <v>17.39667</v>
      </c>
      <c r="G85" s="8">
        <f>IFERROR(__xludf.DUMMYFUNCTION("IF($D85=""Euro"",'Original Data'!G85,
IF($D85=""Dolar"",'Original Data'!G85*GOOGLEFINANCE(""Currency:USDEUR""),
IF($D85=""Franco Suíço"",'Original Data'!G85*GOOGLEFINANCE(""Currency:CHFEUR""),
IF($D85=""Libra Esterlina"", 'Original Data'!G85*GOOGLEFINANCE"&amp;"(""Currency:GBPEUR""),
IF($D85=""Iene"",'Original Data'!G85*GOOGLEFINANCE(""Currency:JPYEUR""),
IF($D85=""HKD"",'Original Data'!G85*GOOGLEFINANCE(""Currency:HKDEUR""),
IF($D85=""KRW"",'Original Data'!G85*GOOGLEFINANCE(""Currency:KRWEUR""),"""")))))))"),19.699683999999998)</f>
        <v>19.699684</v>
      </c>
      <c r="H85" s="17">
        <v>39.679</v>
      </c>
      <c r="I85" s="7" t="s">
        <v>41</v>
      </c>
      <c r="J85" s="7" t="s">
        <v>51</v>
      </c>
      <c r="K85" s="9">
        <v>-0.0599</v>
      </c>
      <c r="L85" s="9">
        <v>-0.0482</v>
      </c>
      <c r="M85" s="9">
        <v>-0.0982</v>
      </c>
      <c r="N85" s="8">
        <f>IFERROR(__xludf.DUMMYFUNCTION("IF('Original Data'!N85=""-"",""-"",
IF($D85=""Euro"",'Original Data'!N85,
IF($D85=""Dolar"",'Original Data'!N85*GOOGLEFINANCE(""Currency:USDEUR""),
IF($D85=""Franco Suíço"",'Original Data'!N85*GOOGLEFINANCE(""Currency:CHFEUR""),
IF($D85=""Libra Esterlina"&amp;""", 'Original Data'!N85*GOOGLEFINANCE(""Currency:GBPEUR""),
IF($D85=""Iene"",'Original Data'!N85*GOOGLEFINANCE(""Currency:JPYEUR""),
IF($D85=""HKD"",'Original Data'!N85*GOOGLEFINANCE(""Currency:HKDEUR""),
IF($D85=""KRW"",'Original Data'!N85*GOOGLEFINANCE("&amp;"""Currency:KRWEUR""),""""))))))))"),-7.77474)</f>
        <v>-7.77474</v>
      </c>
      <c r="O85" s="8">
        <f>IFERROR(__xludf.DUMMYFUNCTION("IF('Original Data'!O85=""-"",""-"",
IF($D85=""Euro"",'Original Data'!O85,
IF($D85=""Dolar"",'Original Data'!O85*GOOGLEFINANCE(""Currency:USDEUR""),
IF($D85=""Franco Suíço"",'Original Data'!O85*GOOGLEFINANCE(""Currency:CHFEUR""),
IF($D85=""Libra Esterlina"&amp;""", 'Original Data'!O85*GOOGLEFINANCE(""Currency:GBPEUR""),
IF($D85=""Iene"",'Original Data'!O85*GOOGLEFINANCE(""Currency:JPYEUR""),
IF($D85=""HKD"",'Original Data'!O85*GOOGLEFINANCE(""Currency:HKDEUR""),
IF($D85=""KRW"",'Original Data'!O85*GOOGLEFINANCE("&amp;"""Currency:KRWEUR""),""""))))))))"),17.35072)</f>
        <v>17.35072</v>
      </c>
      <c r="P85" s="8">
        <f>IFERROR(__xludf.DUMMYFUNCTION("IF('Original Data'!P85=""-"",""-"",
IF($D85=""Euro"",'Original Data'!P85,
IF($D85=""Dolar"",'Original Data'!P85*GOOGLEFINANCE(""Currency:USDEUR""),
IF($D85=""Franco Suíço"",'Original Data'!P85*GOOGLEFINANCE(""Currency:CHFEUR""),
IF($D85=""Libra Esterlina"&amp;""", 'Original Data'!P85*GOOGLEFINANCE(""Currency:GBPEUR""),
IF($D85=""Iene"",'Original Data'!P85*GOOGLEFINANCE(""Currency:JPYEUR""),
IF($D85=""HKD"",'Original Data'!P85*GOOGLEFINANCE(""Currency:HKDEUR""),
IF($D85=""KRW"",'Original Data'!P85*GOOGLEFINANCE("&amp;"""Currency:KRWEUR""),""""))))))))"),19.142769999999995)</f>
        <v>19.14277</v>
      </c>
      <c r="Q85" s="8">
        <f>IFERROR(__xludf.DUMMYFUNCTION("IF('Original Data'!Q85=""-"",""-"",
IF($D85=""Euro"",'Original Data'!Q85,
IF($D85=""Dolar"",'Original Data'!Q85*GOOGLEFINANCE(""Currency:USDEUR""),
IF($D85=""Franco Suíço"",'Original Data'!Q85*GOOGLEFINANCE(""Currency:CHFEUR""),
IF($D85=""Libra Esterlina"&amp;""", 'Original Data'!Q85*GOOGLEFINANCE(""Currency:GBPEUR""),
IF($D85=""Iene"",'Original Data'!Q85*GOOGLEFINANCE(""Currency:JPYEUR""),
IF($D85=""HKD"",'Original Data'!Q85*GOOGLEFINANCE(""Currency:HKDEUR""),
IF($D85=""KRW"",'Original Data'!Q85*GOOGLEFINANCE("&amp;"""Currency:KRWEUR""),""""))))))))"),5.146399999999999)</f>
        <v>5.1464</v>
      </c>
      <c r="R85" s="8">
        <f>IFERROR(__xludf.DUMMYFUNCTION("IF('Original Data'!R85=""-"",""-"",
IF($D85=""Euro"",'Original Data'!R85,
IF($D85=""Dolar"",'Original Data'!R85*GOOGLEFINANCE(""Currency:USDEUR""),
IF($D85=""Franco Suíço"",'Original Data'!R85*GOOGLEFINANCE(""Currency:CHFEUR""),
IF($D85=""Libra Esterlina"&amp;""", 'Original Data'!R85*GOOGLEFINANCE(""Currency:GBPEUR""),
IF($D85=""Iene"",'Original Data'!R85*GOOGLEFINANCE(""Currency:JPYEUR""),
IF($D85=""HKD"",'Original Data'!R85*GOOGLEFINANCE(""Currency:HKDEUR""),
IF($D85=""KRW"",'Original Data'!R85*GOOGLEFINANCE("&amp;"""Currency:KRWEUR""),""""))))))))"),1.7552899999999998)</f>
        <v>1.75529</v>
      </c>
      <c r="S85" s="8">
        <f>IFERROR(__xludf.DUMMYFUNCTION("IF('Original Data'!S85=""-"",""-"",
IF($D85=""Euro"",'Original Data'!S85,
IF($D85=""Dolar"",'Original Data'!S85*GOOGLEFINANCE(""Currency:USDEUR""),
IF($D85=""Franco Suíço"",'Original Data'!S85*GOOGLEFINANCE(""Currency:CHFEUR""),
IF($D85=""Libra Esterlina"&amp;""", 'Original Data'!S85*GOOGLEFINANCE(""Currency:GBPEUR""),
IF($D85=""Iene"",'Original Data'!S85*GOOGLEFINANCE(""Currency:JPYEUR""),
IF($D85=""HKD"",'Original Data'!S85*GOOGLEFINANCE(""Currency:HKDEUR""),
IF($D85=""KRW"",'Original Data'!S85*GOOGLEFINANCE("&amp;"""Currency:KRWEUR""),""""))))))))"),4.9074599999999995)</f>
        <v>4.90746</v>
      </c>
      <c r="T85" s="8">
        <f>IFERROR(__xludf.DUMMYFUNCTION("IF('Original Data'!T85=""-"",""-"",
IF($D85=""Euro"",'Original Data'!T85,
IF($D85=""Dolar"",'Original Data'!T85*GOOGLEFINANCE(""Currency:USDEUR""),
IF($D85=""Franco Suíço"",'Original Data'!T85*GOOGLEFINANCE(""Currency:CHFEUR""),
IF($D85=""Libra Esterlina"&amp;""", 'Original Data'!T85*GOOGLEFINANCE(""Currency:GBPEUR""),
IF($D85=""Iene"",'Original Data'!T85*GOOGLEFINANCE(""Currency:JPYEUR""),
IF($D85=""HKD"",'Original Data'!T85*GOOGLEFINANCE(""Currency:HKDEUR""),
IF($D85=""KRW"",'Original Data'!T85*GOOGLEFINANCE("&amp;"""Currency:KRWEUR""),""""))))))))"),4.99936)</f>
        <v>4.99936</v>
      </c>
      <c r="U85" s="8">
        <f>IFERROR(__xludf.DUMMYFUNCTION("IF('Original Data'!U85=""-"",""-"",
IF($D85=""Euro"",'Original Data'!U85,
IF($D85=""Dolar"",'Original Data'!U85*GOOGLEFINANCE(""Currency:USDEUR""),
IF($D85=""Franco Suíço"",'Original Data'!U85*GOOGLEFINANCE(""Currency:CHFEUR""),
IF($D85=""Libra Esterlina"&amp;""", 'Original Data'!U85*GOOGLEFINANCE(""Currency:GBPEUR""),
IF($D85=""Iene"",'Original Data'!U85*GOOGLEFINANCE(""Currency:JPYEUR""),
IF($D85=""HKD"",'Original Data'!U85*GOOGLEFINANCE(""Currency:HKDEUR""),
IF($D85=""KRW"",'Original Data'!U85*GOOGLEFINANCE("&amp;"""Currency:KRWEUR""),""""))))))))"),-2.15046)</f>
        <v>-2.15046</v>
      </c>
      <c r="V85" s="8">
        <f>IFERROR(__xludf.DUMMYFUNCTION("IF('Original Data'!V85=""-"",""-"",
IF($D85=""Euro"",'Original Data'!V85,
IF($D85=""Dolar"",'Original Data'!V85*GOOGLEFINANCE(""Currency:USDEUR""),
IF($D85=""Franco Suíço"",'Original Data'!V85*GOOGLEFINANCE(""Currency:CHFEUR""),
IF($D85=""Libra Esterlina"&amp;""", 'Original Data'!V85*GOOGLEFINANCE(""Currency:GBPEUR""),
IF($D85=""Iene"",'Original Data'!V85*GOOGLEFINANCE(""Currency:JPYEUR""),
IF($D85=""HKD"",'Original Data'!V85*GOOGLEFINANCE(""Currency:HKDEUR""),
IF($D85=""KRW"",'Original Data'!V85*GOOGLEFINANCE("&amp;"""Currency:KRWEUR""),""""))))))))"),-3.57491)</f>
        <v>-3.57491</v>
      </c>
      <c r="W85" s="7" t="s">
        <v>52</v>
      </c>
      <c r="X85" s="7" t="s">
        <v>43</v>
      </c>
      <c r="Y85" s="7" t="s">
        <v>41</v>
      </c>
      <c r="Z85" s="7" t="s">
        <v>41</v>
      </c>
      <c r="AA85" s="7" t="s">
        <v>43</v>
      </c>
      <c r="AB85" s="7" t="s">
        <v>43</v>
      </c>
      <c r="AC85" s="7">
        <v>24.0</v>
      </c>
      <c r="AD85" s="7">
        <v>10.3</v>
      </c>
      <c r="AE85" s="7">
        <v>9.7</v>
      </c>
      <c r="AF85" s="7">
        <v>3.8</v>
      </c>
      <c r="AG85" s="7">
        <v>3.0</v>
      </c>
    </row>
    <row r="86">
      <c r="A86" s="16" t="s">
        <v>300</v>
      </c>
      <c r="B86" s="16" t="s">
        <v>301</v>
      </c>
      <c r="C86" s="16" t="s">
        <v>302</v>
      </c>
      <c r="D86" s="7" t="s">
        <v>40</v>
      </c>
      <c r="E86" s="8">
        <f>IFERROR(__xludf.DUMMYFUNCTION("IF($D86=""Euro"",'Original Data'!E86,
IF($D86=""Dolar"",'Original Data'!E86*GOOGLEFINANCE(""Currency:USDEUR""),
IF($D86=""Franco Suíço"",'Original Data'!E86*GOOGLEFINANCE(""Currency:CHFEUR""),
IF($D86=""Libra Esterlina"", 'Original Data'!E86*GOOGLEFINANCE"&amp;"(""Currency:GBPEUR""),
IF($D86=""Iene"",'Original Data'!E86*GOOGLEFINANCE(""Currency:JPYEUR""),
IF($D86=""HKD"",'Original Data'!E86*GOOGLEFINANCE(""Currency:HKDEUR""),
IF($D86=""KRW"",'Original Data'!E86*GOOGLEFINANCE(""Currency:KRWEUR""),"""")))))))"),39.8846)</f>
        <v>39.8846</v>
      </c>
      <c r="F86" s="8">
        <f>IFERROR(__xludf.DUMMYFUNCTION("IF($D86=""Euro"",'Original Data'!F86,
IF($D86=""Dolar"",'Original Data'!F86*GOOGLEFINANCE(""Currency:USDEUR""),
IF($D86=""Franco Suíço"",'Original Data'!F86*GOOGLEFINANCE(""Currency:CHFEUR""),
IF($D86=""Libra Esterlina"", 'Original Data'!F86*GOOGLEFINANCE"&amp;"(""Currency:GBPEUR""),
IF($D86=""Iene"",'Original Data'!F86*GOOGLEFINANCE(""Currency:JPYEUR""),
IF($D86=""HKD"",'Original Data'!F86*GOOGLEFINANCE(""Currency:HKDEUR""),
IF($D86=""KRW"",'Original Data'!F86*GOOGLEFINANCE(""Currency:KRWEUR""),"""")))))))"),35.85938)</f>
        <v>35.85938</v>
      </c>
      <c r="G86" s="8">
        <f>IFERROR(__xludf.DUMMYFUNCTION("IF($D86=""Euro"",'Original Data'!G86,
IF($D86=""Dolar"",'Original Data'!G86*GOOGLEFINANCE(""Currency:USDEUR""),
IF($D86=""Franco Suíço"",'Original Data'!G86*GOOGLEFINANCE(""Currency:CHFEUR""),
IF($D86=""Libra Esterlina"", 'Original Data'!G86*GOOGLEFINANCE"&amp;"(""Currency:GBPEUR""),
IF($D86=""Iene"",'Original Data'!G86*GOOGLEFINANCE(""Currency:JPYEUR""),
IF($D86=""HKD"",'Original Data'!G86*GOOGLEFINANCE(""Currency:HKDEUR""),
IF($D86=""KRW"",'Original Data'!G86*GOOGLEFINANCE(""Currency:KRWEUR""),"""")))))))"),26.798959)</f>
        <v>26.798959</v>
      </c>
      <c r="H86" s="17">
        <v>9.458</v>
      </c>
      <c r="I86" s="7" t="s">
        <v>41</v>
      </c>
      <c r="J86" s="7" t="s">
        <v>51</v>
      </c>
      <c r="K86" s="9">
        <v>0.0631</v>
      </c>
      <c r="L86" s="9">
        <v>0.0516</v>
      </c>
      <c r="M86" s="9">
        <v>0.1932</v>
      </c>
      <c r="N86" s="8">
        <f>IFERROR(__xludf.DUMMYFUNCTION("IF('Original Data'!N86=""-"",""-"",
IF($D86=""Euro"",'Original Data'!N86,
IF($D86=""Dolar"",'Original Data'!N86*GOOGLEFINANCE(""Currency:USDEUR""),
IF($D86=""Franco Suíço"",'Original Data'!N86*GOOGLEFINANCE(""Currency:CHFEUR""),
IF($D86=""Libra Esterlina"&amp;""", 'Original Data'!N86*GOOGLEFINANCE(""Currency:GBPEUR""),
IF($D86=""Iene"",'Original Data'!N86*GOOGLEFINANCE(""Currency:JPYEUR""),
IF($D86=""HKD"",'Original Data'!N86*GOOGLEFINANCE(""Currency:HKDEUR""),
IF($D86=""KRW"",'Original Data'!N86*GOOGLEFINANCE("&amp;"""Currency:KRWEUR""),""""))))))))"),-1.3876899999999999)</f>
        <v>-1.38769</v>
      </c>
      <c r="O86" s="8">
        <f>IFERROR(__xludf.DUMMYFUNCTION("IF('Original Data'!O86=""-"",""-"",
IF($D86=""Euro"",'Original Data'!O86,
IF($D86=""Dolar"",'Original Data'!O86*GOOGLEFINANCE(""Currency:USDEUR""),
IF($D86=""Franco Suíço"",'Original Data'!O86*GOOGLEFINANCE(""Currency:CHFEUR""),
IF($D86=""Libra Esterlina"&amp;""", 'Original Data'!O86*GOOGLEFINANCE(""Currency:GBPEUR""),
IF($D86=""Iene"",'Original Data'!O86*GOOGLEFINANCE(""Currency:JPYEUR""),
IF($D86=""HKD"",'Original Data'!O86*GOOGLEFINANCE(""Currency:HKDEUR""),
IF($D86=""KRW"",'Original Data'!O86*GOOGLEFINANCE("&amp;"""Currency:KRWEUR""),""""))))))))"),12.61787)</f>
        <v>12.61787</v>
      </c>
      <c r="P86" s="8">
        <f>IFERROR(__xludf.DUMMYFUNCTION("IF('Original Data'!P86=""-"",""-"",
IF($D86=""Euro"",'Original Data'!P86,
IF($D86=""Dolar"",'Original Data'!P86*GOOGLEFINANCE(""Currency:USDEUR""),
IF($D86=""Franco Suíço"",'Original Data'!P86*GOOGLEFINANCE(""Currency:CHFEUR""),
IF($D86=""Libra Esterlina"&amp;""", 'Original Data'!P86*GOOGLEFINANCE(""Currency:GBPEUR""),
IF($D86=""Iene"",'Original Data'!P86*GOOGLEFINANCE(""Currency:JPYEUR""),
IF($D86=""HKD"",'Original Data'!P86*GOOGLEFINANCE(""Currency:HKDEUR""),
IF($D86=""KRW"",'Original Data'!P86*GOOGLEFINANCE("&amp;"""Currency:KRWEUR""),""""))))))))"),12.627059999999998)</f>
        <v>12.62706</v>
      </c>
      <c r="Q86" s="8">
        <f>IFERROR(__xludf.DUMMYFUNCTION("IF('Original Data'!Q86=""-"",""-"",
IF($D86=""Euro"",'Original Data'!Q86,
IF($D86=""Dolar"",'Original Data'!Q86*GOOGLEFINANCE(""Currency:USDEUR""),
IF($D86=""Franco Suíço"",'Original Data'!Q86*GOOGLEFINANCE(""Currency:CHFEUR""),
IF($D86=""Libra Esterlina"&amp;""", 'Original Data'!Q86*GOOGLEFINANCE(""Currency:GBPEUR""),
IF($D86=""Iene"",'Original Data'!Q86*GOOGLEFINANCE(""Currency:JPYEUR""),
IF($D86=""HKD"",'Original Data'!Q86*GOOGLEFINANCE(""Currency:HKDEUR""),
IF($D86=""KRW"",'Original Data'!Q86*GOOGLEFINANCE("&amp;"""Currency:KRWEUR""),""""))))))))"),2.70186)</f>
        <v>2.70186</v>
      </c>
      <c r="R86" s="8">
        <f>IFERROR(__xludf.DUMMYFUNCTION("IF('Original Data'!R86=""-"",""-"",
IF($D86=""Euro"",'Original Data'!R86,
IF($D86=""Dolar"",'Original Data'!R86*GOOGLEFINANCE(""Currency:USDEUR""),
IF($D86=""Franco Suíço"",'Original Data'!R86*GOOGLEFINANCE(""Currency:CHFEUR""),
IF($D86=""Libra Esterlina"&amp;""", 'Original Data'!R86*GOOGLEFINANCE(""Currency:GBPEUR""),
IF($D86=""Iene"",'Original Data'!R86*GOOGLEFINANCE(""Currency:JPYEUR""),
IF($D86=""HKD"",'Original Data'!R86*GOOGLEFINANCE(""Currency:HKDEUR""),
IF($D86=""KRW"",'Original Data'!R86*GOOGLEFINANCE("&amp;"""Currency:KRWEUR""),""""))))))))"),3.88737)</f>
        <v>3.88737</v>
      </c>
      <c r="S86" s="8">
        <f>IFERROR(__xludf.DUMMYFUNCTION("IF('Original Data'!S86=""-"",""-"",
IF($D86=""Euro"",'Original Data'!S86,
IF($D86=""Dolar"",'Original Data'!S86*GOOGLEFINANCE(""Currency:USDEUR""),
IF($D86=""Franco Suíço"",'Original Data'!S86*GOOGLEFINANCE(""Currency:CHFEUR""),
IF($D86=""Libra Esterlina"&amp;""", 'Original Data'!S86*GOOGLEFINANCE(""Currency:GBPEUR""),
IF($D86=""Iene"",'Original Data'!S86*GOOGLEFINANCE(""Currency:JPYEUR""),
IF($D86=""HKD"",'Original Data'!S86*GOOGLEFINANCE(""Currency:HKDEUR""),
IF($D86=""KRW"",'Original Data'!S86*GOOGLEFINANCE("&amp;"""Currency:KRWEUR""),""""))))))))"),4.613379999999999)</f>
        <v>4.61338</v>
      </c>
      <c r="T86" s="8">
        <f>IFERROR(__xludf.DUMMYFUNCTION("IF('Original Data'!T86=""-"",""-"",
IF($D86=""Euro"",'Original Data'!T86,
IF($D86=""Dolar"",'Original Data'!T86*GOOGLEFINANCE(""Currency:USDEUR""),
IF($D86=""Franco Suíço"",'Original Data'!T86*GOOGLEFINANCE(""Currency:CHFEUR""),
IF($D86=""Libra Esterlina"&amp;""", 'Original Data'!T86*GOOGLEFINANCE(""Currency:GBPEUR""),
IF($D86=""Iene"",'Original Data'!T86*GOOGLEFINANCE(""Currency:JPYEUR""),
IF($D86=""HKD"",'Original Data'!T86*GOOGLEFINANCE(""Currency:HKDEUR""),
IF($D86=""KRW"",'Original Data'!T86*GOOGLEFINANCE("&amp;"""Currency:KRWEUR""),""""))))))))"),4.5858099999999995)</f>
        <v>4.58581</v>
      </c>
      <c r="U86" s="8">
        <f>IFERROR(__xludf.DUMMYFUNCTION("IF('Original Data'!U86=""-"",""-"",
IF($D86=""Euro"",'Original Data'!U86,
IF($D86=""Dolar"",'Original Data'!U86*GOOGLEFINANCE(""Currency:USDEUR""),
IF($D86=""Franco Suíço"",'Original Data'!U86*GOOGLEFINANCE(""Currency:CHFEUR""),
IF($D86=""Libra Esterlina"&amp;""", 'Original Data'!U86*GOOGLEFINANCE(""Currency:GBPEUR""),
IF($D86=""Iene"",'Original Data'!U86*GOOGLEFINANCE(""Currency:JPYEUR""),
IF($D86=""HKD"",'Original Data'!U86*GOOGLEFINANCE(""Currency:HKDEUR""),
IF($D86=""KRW"",'Original Data'!U86*GOOGLEFINANCE("&amp;"""Currency:KRWEUR""),""""))))))))"),-0.27937599999999996)</f>
        <v>-0.279376</v>
      </c>
      <c r="V86" s="8">
        <f>IFERROR(__xludf.DUMMYFUNCTION("IF('Original Data'!V86=""-"",""-"",
IF($D86=""Euro"",'Original Data'!V86,
IF($D86=""Dolar"",'Original Data'!V86*GOOGLEFINANCE(""Currency:USDEUR""),
IF($D86=""Franco Suíço"",'Original Data'!V86*GOOGLEFINANCE(""Currency:CHFEUR""),
IF($D86=""Libra Esterlina"&amp;""", 'Original Data'!V86*GOOGLEFINANCE(""Currency:GBPEUR""),
IF($D86=""Iene"",'Original Data'!V86*GOOGLEFINANCE(""Currency:JPYEUR""),
IF($D86=""HKD"",'Original Data'!V86*GOOGLEFINANCE(""Currency:HKDEUR""),
IF($D86=""KRW"",'Original Data'!V86*GOOGLEFINANCE("&amp;"""Currency:KRWEUR""),""""))))))))"),0.365762)</f>
        <v>0.365762</v>
      </c>
      <c r="W86" s="7" t="s">
        <v>34</v>
      </c>
      <c r="X86" s="7" t="s">
        <v>34</v>
      </c>
      <c r="Y86" s="7" t="s">
        <v>41</v>
      </c>
      <c r="Z86" s="7" t="s">
        <v>41</v>
      </c>
      <c r="AA86" s="7" t="s">
        <v>34</v>
      </c>
      <c r="AB86" s="7" t="s">
        <v>34</v>
      </c>
      <c r="AC86" s="7">
        <v>18.0</v>
      </c>
      <c r="AD86" s="7">
        <v>1.6</v>
      </c>
      <c r="AE86" s="7">
        <v>8.0</v>
      </c>
      <c r="AF86" s="7">
        <v>8.3</v>
      </c>
      <c r="AG86" s="7">
        <v>2.0</v>
      </c>
    </row>
    <row r="87">
      <c r="A87" s="16" t="s">
        <v>303</v>
      </c>
      <c r="B87" s="16" t="s">
        <v>304</v>
      </c>
      <c r="C87" s="16" t="s">
        <v>305</v>
      </c>
      <c r="D87" s="7" t="s">
        <v>33</v>
      </c>
      <c r="E87" s="8">
        <f>IFERROR(__xludf.DUMMYFUNCTION("IF($D87=""Euro"",'Original Data'!E87,
IF($D87=""Dolar"",'Original Data'!E87*GOOGLEFINANCE(""Currency:USDEUR""),
IF($D87=""Franco Suíço"",'Original Data'!E87*GOOGLEFINANCE(""Currency:CHFEUR""),
IF($D87=""Libra Esterlina"", 'Original Data'!E87*GOOGLEFINANCE"&amp;"(""Currency:GBPEUR""),
IF($D87=""Iene"",'Original Data'!E87*GOOGLEFINANCE(""Currency:JPYEUR""),
IF($D87=""HKD"",'Original Data'!E87*GOOGLEFINANCE(""Currency:HKDEUR""),
IF($D87=""KRW"",'Original Data'!E87*GOOGLEFINANCE(""Currency:KRWEUR""),"""")))))))"),13.64)</f>
        <v>13.64</v>
      </c>
      <c r="F87" s="8">
        <f>IFERROR(__xludf.DUMMYFUNCTION("IF($D87=""Euro"",'Original Data'!F87,
IF($D87=""Dolar"",'Original Data'!F87*GOOGLEFINANCE(""Currency:USDEUR""),
IF($D87=""Franco Suíço"",'Original Data'!F87*GOOGLEFINANCE(""Currency:CHFEUR""),
IF($D87=""Libra Esterlina"", 'Original Data'!F87*GOOGLEFINANCE"&amp;"(""Currency:GBPEUR""),
IF($D87=""Iene"",'Original Data'!F87*GOOGLEFINANCE(""Currency:JPYEUR""),
IF($D87=""HKD"",'Original Data'!F87*GOOGLEFINANCE(""Currency:HKDEUR""),
IF($D87=""KRW"",'Original Data'!F87*GOOGLEFINANCE(""Currency:KRWEUR""),"""")))))))"),22.82)</f>
        <v>22.82</v>
      </c>
      <c r="G87" s="8">
        <f>IFERROR(__xludf.DUMMYFUNCTION("IF($D87=""Euro"",'Original Data'!G87,
IF($D87=""Dolar"",'Original Data'!G87*GOOGLEFINANCE(""Currency:USDEUR""),
IF($D87=""Franco Suíço"",'Original Data'!G87*GOOGLEFINANCE(""Currency:CHFEUR""),
IF($D87=""Libra Esterlina"", 'Original Data'!G87*GOOGLEFINANCE"&amp;"(""Currency:GBPEUR""),
IF($D87=""Iene"",'Original Data'!G87*GOOGLEFINANCE(""Currency:JPYEUR""),
IF($D87=""HKD"",'Original Data'!G87*GOOGLEFINANCE(""Currency:HKDEUR""),
IF($D87=""KRW"",'Original Data'!G87*GOOGLEFINANCE(""Currency:KRWEUR""),"""")))))))"),4.883)</f>
        <v>4.883</v>
      </c>
      <c r="H87" s="17">
        <v>0.114027</v>
      </c>
      <c r="I87" s="7" t="s">
        <v>41</v>
      </c>
      <c r="J87" s="7" t="s">
        <v>51</v>
      </c>
      <c r="K87" s="9">
        <v>-0.0021</v>
      </c>
      <c r="L87" s="9">
        <v>-0.0016</v>
      </c>
      <c r="M87" s="9">
        <v>0.025</v>
      </c>
      <c r="N87" s="8">
        <f>IFERROR(__xludf.DUMMYFUNCTION("IF('Original Data'!N87=""-"",""-"",
IF($D87=""Euro"",'Original Data'!N87,
IF($D87=""Dolar"",'Original Data'!N87*GOOGLEFINANCE(""Currency:USDEUR""),
IF($D87=""Franco Suíço"",'Original Data'!N87*GOOGLEFINANCE(""Currency:CHFEUR""),
IF($D87=""Libra Esterlina"&amp;""", 'Original Data'!N87*GOOGLEFINANCE(""Currency:GBPEUR""),
IF($D87=""Iene"",'Original Data'!N87*GOOGLEFINANCE(""Currency:JPYEUR""),
IF($D87=""HKD"",'Original Data'!N87*GOOGLEFINANCE(""Currency:HKDEUR""),
IF($D87=""KRW"",'Original Data'!N87*GOOGLEFINANCE("&amp;"""Currency:KRWEUR""),""""))))))))"),-2.84)</f>
        <v>-2.84</v>
      </c>
      <c r="O87" s="8">
        <f>IFERROR(__xludf.DUMMYFUNCTION("IF('Original Data'!O87=""-"",""-"",
IF($D87=""Euro"",'Original Data'!O87,
IF($D87=""Dolar"",'Original Data'!O87*GOOGLEFINANCE(""Currency:USDEUR""),
IF($D87=""Franco Suíço"",'Original Data'!O87*GOOGLEFINANCE(""Currency:CHFEUR""),
IF($D87=""Libra Esterlina"&amp;""", 'Original Data'!O87*GOOGLEFINANCE(""Currency:GBPEUR""),
IF($D87=""Iene"",'Original Data'!O87*GOOGLEFINANCE(""Currency:JPYEUR""),
IF($D87=""HKD"",'Original Data'!O87*GOOGLEFINANCE(""Currency:HKDEUR""),
IF($D87=""KRW"",'Original Data'!O87*GOOGLEFINANCE("&amp;"""Currency:KRWEUR""),""""))))))))"),3.18)</f>
        <v>3.18</v>
      </c>
      <c r="P87" s="8">
        <f>IFERROR(__xludf.DUMMYFUNCTION("IF('Original Data'!P87=""-"",""-"",
IF($D87=""Euro"",'Original Data'!P87,
IF($D87=""Dolar"",'Original Data'!P87*GOOGLEFINANCE(""Currency:USDEUR""),
IF($D87=""Franco Suíço"",'Original Data'!P87*GOOGLEFINANCE(""Currency:CHFEUR""),
IF($D87=""Libra Esterlina"&amp;""", 'Original Data'!P87*GOOGLEFINANCE(""Currency:GBPEUR""),
IF($D87=""Iene"",'Original Data'!P87*GOOGLEFINANCE(""Currency:JPYEUR""),
IF($D87=""HKD"",'Original Data'!P87*GOOGLEFINANCE(""Currency:HKDEUR""),
IF($D87=""KRW"",'Original Data'!P87*GOOGLEFINANCE("&amp;"""Currency:KRWEUR""),""""))))))))"),3.49)</f>
        <v>3.49</v>
      </c>
      <c r="Q87" s="8">
        <f>IFERROR(__xludf.DUMMYFUNCTION("IF('Original Data'!Q87=""-"",""-"",
IF($D87=""Euro"",'Original Data'!Q87,
IF($D87=""Dolar"",'Original Data'!Q87*GOOGLEFINANCE(""Currency:USDEUR""),
IF($D87=""Franco Suíço"",'Original Data'!Q87*GOOGLEFINANCE(""Currency:CHFEUR""),
IF($D87=""Libra Esterlina"&amp;""", 'Original Data'!Q87*GOOGLEFINANCE(""Currency:GBPEUR""),
IF($D87=""Iene"",'Original Data'!Q87*GOOGLEFINANCE(""Currency:JPYEUR""),
IF($D87=""HKD"",'Original Data'!Q87*GOOGLEFINANCE(""Currency:HKDEUR""),
IF($D87=""KRW"",'Original Data'!Q87*GOOGLEFINANCE("&amp;"""Currency:KRWEUR""),""""))))))))"),2.1)</f>
        <v>2.1</v>
      </c>
      <c r="R87" s="8">
        <f>IFERROR(__xludf.DUMMYFUNCTION("IF('Original Data'!R87=""-"",""-"",
IF($D87=""Euro"",'Original Data'!R87,
IF($D87=""Dolar"",'Original Data'!R87*GOOGLEFINANCE(""Currency:USDEUR""),
IF($D87=""Franco Suíço"",'Original Data'!R87*GOOGLEFINANCE(""Currency:CHFEUR""),
IF($D87=""Libra Esterlina"&amp;""", 'Original Data'!R87*GOOGLEFINANCE(""Currency:GBPEUR""),
IF($D87=""Iene"",'Original Data'!R87*GOOGLEFINANCE(""Currency:JPYEUR""),
IF($D87=""HKD"",'Original Data'!R87*GOOGLEFINANCE(""Currency:HKDEUR""),
IF($D87=""KRW"",'Original Data'!R87*GOOGLEFINANCE("&amp;"""Currency:KRWEUR""),""""))))))))"),2.52)</f>
        <v>2.52</v>
      </c>
      <c r="S87" s="8">
        <f>IFERROR(__xludf.DUMMYFUNCTION("IF('Original Data'!S87=""-"",""-"",
IF($D87=""Euro"",'Original Data'!S87,
IF($D87=""Dolar"",'Original Data'!S87*GOOGLEFINANCE(""Currency:USDEUR""),
IF($D87=""Franco Suíço"",'Original Data'!S87*GOOGLEFINANCE(""Currency:CHFEUR""),
IF($D87=""Libra Esterlina"&amp;""", 'Original Data'!S87*GOOGLEFINANCE(""Currency:GBPEUR""),
IF($D87=""Iene"",'Original Data'!S87*GOOGLEFINANCE(""Currency:JPYEUR""),
IF($D87=""HKD"",'Original Data'!S87*GOOGLEFINANCE(""Currency:HKDEUR""),
IF($D87=""KRW"",'Original Data'!S87*GOOGLEFINANCE("&amp;"""Currency:KRWEUR""),""""))))))))"),1.51)</f>
        <v>1.51</v>
      </c>
      <c r="T87" s="8">
        <f>IFERROR(__xludf.DUMMYFUNCTION("IF('Original Data'!T87=""-"",""-"",
IF($D87=""Euro"",'Original Data'!T87,
IF($D87=""Dolar"",'Original Data'!T87*GOOGLEFINANCE(""Currency:USDEUR""),
IF($D87=""Franco Suíço"",'Original Data'!T87*GOOGLEFINANCE(""Currency:CHFEUR""),
IF($D87=""Libra Esterlina"&amp;""", 'Original Data'!T87*GOOGLEFINANCE(""Currency:GBPEUR""),
IF($D87=""Iene"",'Original Data'!T87*GOOGLEFINANCE(""Currency:JPYEUR""),
IF($D87=""HKD"",'Original Data'!T87*GOOGLEFINANCE(""Currency:HKDEUR""),
IF($D87=""KRW"",'Original Data'!T87*GOOGLEFINANCE("&amp;"""Currency:KRWEUR""),""""))))))))"),1.7)</f>
        <v>1.7</v>
      </c>
      <c r="U87" s="8">
        <f>IFERROR(__xludf.DUMMYFUNCTION("IF('Original Data'!U87=""-"",""-"",
IF($D87=""Euro"",'Original Data'!U87,
IF($D87=""Dolar"",'Original Data'!U87*GOOGLEFINANCE(""Currency:USDEUR""),
IF($D87=""Franco Suíço"",'Original Data'!U87*GOOGLEFINANCE(""Currency:CHFEUR""),
IF($D87=""Libra Esterlina"&amp;""", 'Original Data'!U87*GOOGLEFINANCE(""Currency:GBPEUR""),
IF($D87=""Iene"",'Original Data'!U87*GOOGLEFINANCE(""Currency:JPYEUR""),
IF($D87=""HKD"",'Original Data'!U87*GOOGLEFINANCE(""Currency:HKDEUR""),
IF($D87=""KRW"",'Original Data'!U87*GOOGLEFINANCE("&amp;"""Currency:KRWEUR""),""""))))))))"),1.03)</f>
        <v>1.03</v>
      </c>
      <c r="V87" s="8">
        <f>IFERROR(__xludf.DUMMYFUNCTION("IF('Original Data'!V87=""-"",""-"",
IF($D87=""Euro"",'Original Data'!V87,
IF($D87=""Dolar"",'Original Data'!V87*GOOGLEFINANCE(""Currency:USDEUR""),
IF($D87=""Franco Suíço"",'Original Data'!V87*GOOGLEFINANCE(""Currency:CHFEUR""),
IF($D87=""Libra Esterlina"&amp;""", 'Original Data'!V87*GOOGLEFINANCE(""Currency:GBPEUR""),
IF($D87=""Iene"",'Original Data'!V87*GOOGLEFINANCE(""Currency:JPYEUR""),
IF($D87=""HKD"",'Original Data'!V87*GOOGLEFINANCE(""Currency:HKDEUR""),
IF($D87=""KRW"",'Original Data'!V87*GOOGLEFINANCE("&amp;"""Currency:KRWEUR""),""""))))))))"),1.15)</f>
        <v>1.15</v>
      </c>
      <c r="W87" s="7" t="s">
        <v>35</v>
      </c>
      <c r="X87" s="7" t="s">
        <v>34</v>
      </c>
      <c r="Y87" s="7" t="s">
        <v>41</v>
      </c>
      <c r="Z87" s="7" t="s">
        <v>41</v>
      </c>
      <c r="AA87" s="7" t="s">
        <v>41</v>
      </c>
      <c r="AB87" s="7" t="s">
        <v>41</v>
      </c>
      <c r="AC87" s="7">
        <v>16.0</v>
      </c>
      <c r="AD87" s="7">
        <v>0.1</v>
      </c>
      <c r="AE87" s="7">
        <v>8.9</v>
      </c>
      <c r="AF87" s="7">
        <v>6.6</v>
      </c>
      <c r="AG87" s="7">
        <v>1.0</v>
      </c>
    </row>
    <row r="88">
      <c r="A88" s="16" t="s">
        <v>306</v>
      </c>
      <c r="B88" s="16" t="s">
        <v>307</v>
      </c>
      <c r="C88" s="16" t="s">
        <v>308</v>
      </c>
      <c r="D88" s="7" t="s">
        <v>33</v>
      </c>
      <c r="E88" s="8">
        <f>IFERROR(__xludf.DUMMYFUNCTION("IF($D88=""Euro"",'Original Data'!E88,
IF($D88=""Dolar"",'Original Data'!E88*GOOGLEFINANCE(""Currency:USDEUR""),
IF($D88=""Franco Suíço"",'Original Data'!E88*GOOGLEFINANCE(""Currency:CHFEUR""),
IF($D88=""Libra Esterlina"", 'Original Data'!E88*GOOGLEFINANCE"&amp;"(""Currency:GBPEUR""),
IF($D88=""Iene"",'Original Data'!E88*GOOGLEFINANCE(""Currency:JPYEUR""),
IF($D88=""HKD"",'Original Data'!E88*GOOGLEFINANCE(""Currency:HKDEUR""),
IF($D88=""KRW"",'Original Data'!E88*GOOGLEFINANCE(""Currency:KRWEUR""),"""")))))))"),19.9)</f>
        <v>19.9</v>
      </c>
      <c r="F88" s="8">
        <f>IFERROR(__xludf.DUMMYFUNCTION("IF($D88=""Euro"",'Original Data'!F88,
IF($D88=""Dolar"",'Original Data'!F88*GOOGLEFINANCE(""Currency:USDEUR""),
IF($D88=""Franco Suíço"",'Original Data'!F88*GOOGLEFINANCE(""Currency:CHFEUR""),
IF($D88=""Libra Esterlina"", 'Original Data'!F88*GOOGLEFINANCE"&amp;"(""Currency:GBPEUR""),
IF($D88=""Iene"",'Original Data'!F88*GOOGLEFINANCE(""Currency:JPYEUR""),
IF($D88=""HKD"",'Original Data'!F88*GOOGLEFINANCE(""Currency:HKDEUR""),
IF($D88=""KRW"",'Original Data'!F88*GOOGLEFINANCE(""Currency:KRWEUR""),"""")))))))"),9.0)</f>
        <v>9</v>
      </c>
      <c r="G88" s="8">
        <f>IFERROR(__xludf.DUMMYFUNCTION("IF($D88=""Euro"",'Original Data'!G88,
IF($D88=""Dolar"",'Original Data'!G88*GOOGLEFINANCE(""Currency:USDEUR""),
IF($D88=""Franco Suíço"",'Original Data'!G88*GOOGLEFINANCE(""Currency:CHFEUR""),
IF($D88=""Libra Esterlina"", 'Original Data'!G88*GOOGLEFINANCE"&amp;"(""Currency:GBPEUR""),
IF($D88=""Iene"",'Original Data'!G88*GOOGLEFINANCE(""Currency:JPYEUR""),
IF($D88=""HKD"",'Original Data'!G88*GOOGLEFINANCE(""Currency:HKDEUR""),
IF($D88=""KRW"",'Original Data'!G88*GOOGLEFINANCE(""Currency:KRWEUR""),"""")))))))"),0.234826)</f>
        <v>0.234826</v>
      </c>
      <c r="H88" s="17">
        <v>0.006008</v>
      </c>
      <c r="I88" s="7" t="s">
        <v>41</v>
      </c>
      <c r="J88" s="7" t="s">
        <v>51</v>
      </c>
      <c r="K88" s="9">
        <v>-6.0E-4</v>
      </c>
      <c r="L88" s="9">
        <v>-3.0E-4</v>
      </c>
      <c r="M88" s="9">
        <v>-0.0043</v>
      </c>
      <c r="N88" s="8">
        <f>IFERROR(__xludf.DUMMYFUNCTION("IF('Original Data'!N88=""-"",""-"",
IF($D88=""Euro"",'Original Data'!N88,
IF($D88=""Dolar"",'Original Data'!N88*GOOGLEFINANCE(""Currency:USDEUR""),
IF($D88=""Franco Suíço"",'Original Data'!N88*GOOGLEFINANCE(""Currency:CHFEUR""),
IF($D88=""Libra Esterlina"&amp;""", 'Original Data'!N88*GOOGLEFINANCE(""Currency:GBPEUR""),
IF($D88=""Iene"",'Original Data'!N88*GOOGLEFINANCE(""Currency:JPYEUR""),
IF($D88=""HKD"",'Original Data'!N88*GOOGLEFINANCE(""Currency:HKDEUR""),
IF($D88=""KRW"",'Original Data'!N88*GOOGLEFINANCE("&amp;"""Currency:KRWEUR""),""""))))))))"),-0.46)</f>
        <v>-0.46</v>
      </c>
      <c r="O88" s="8">
        <f>IFERROR(__xludf.DUMMYFUNCTION("IF('Original Data'!O88=""-"",""-"",
IF($D88=""Euro"",'Original Data'!O88,
IF($D88=""Dolar"",'Original Data'!O88*GOOGLEFINANCE(""Currency:USDEUR""),
IF($D88=""Franco Suíço"",'Original Data'!O88*GOOGLEFINANCE(""Currency:CHFEUR""),
IF($D88=""Libra Esterlina"&amp;""", 'Original Data'!O88*GOOGLEFINANCE(""Currency:GBPEUR""),
IF($D88=""Iene"",'Original Data'!O88*GOOGLEFINANCE(""Currency:JPYEUR""),
IF($D88=""HKD"",'Original Data'!O88*GOOGLEFINANCE(""Currency:HKDEUR""),
IF($D88=""KRW"",'Original Data'!O88*GOOGLEFINANCE("&amp;"""Currency:KRWEUR""),""""))))))))"),1.67)</f>
        <v>1.67</v>
      </c>
      <c r="P88" s="8">
        <f>IFERROR(__xludf.DUMMYFUNCTION("IF('Original Data'!P88=""-"",""-"",
IF($D88=""Euro"",'Original Data'!P88,
IF($D88=""Dolar"",'Original Data'!P88*GOOGLEFINANCE(""Currency:USDEUR""),
IF($D88=""Franco Suíço"",'Original Data'!P88*GOOGLEFINANCE(""Currency:CHFEUR""),
IF($D88=""Libra Esterlina"&amp;""", 'Original Data'!P88*GOOGLEFINANCE(""Currency:GBPEUR""),
IF($D88=""Iene"",'Original Data'!P88*GOOGLEFINANCE(""Currency:JPYEUR""),
IF($D88=""HKD"",'Original Data'!P88*GOOGLEFINANCE(""Currency:HKDEUR""),
IF($D88=""KRW"",'Original Data'!P88*GOOGLEFINANCE("&amp;"""Currency:KRWEUR""),""""))))))))"),1.59)</f>
        <v>1.59</v>
      </c>
      <c r="Q88" s="8">
        <f>IFERROR(__xludf.DUMMYFUNCTION("IF('Original Data'!Q88=""-"",""-"",
IF($D88=""Euro"",'Original Data'!Q88,
IF($D88=""Dolar"",'Original Data'!Q88*GOOGLEFINANCE(""Currency:USDEUR""),
IF($D88=""Franco Suíço"",'Original Data'!Q88*GOOGLEFINANCE(""Currency:CHFEUR""),
IF($D88=""Libra Esterlina"&amp;""", 'Original Data'!Q88*GOOGLEFINANCE(""Currency:GBPEUR""),
IF($D88=""Iene"",'Original Data'!Q88*GOOGLEFINANCE(""Currency:JPYEUR""),
IF($D88=""HKD"",'Original Data'!Q88*GOOGLEFINANCE(""Currency:HKDEUR""),
IF($D88=""KRW"",'Original Data'!Q88*GOOGLEFINANCE("&amp;"""Currency:KRWEUR""),""""))))))))"),1.47)</f>
        <v>1.47</v>
      </c>
      <c r="R88" s="8">
        <f>IFERROR(__xludf.DUMMYFUNCTION("IF('Original Data'!R88=""-"",""-"",
IF($D88=""Euro"",'Original Data'!R88,
IF($D88=""Dolar"",'Original Data'!R88*GOOGLEFINANCE(""Currency:USDEUR""),
IF($D88=""Franco Suíço"",'Original Data'!R88*GOOGLEFINANCE(""Currency:CHFEUR""),
IF($D88=""Libra Esterlina"&amp;""", 'Original Data'!R88*GOOGLEFINANCE(""Currency:GBPEUR""),
IF($D88=""Iene"",'Original Data'!R88*GOOGLEFINANCE(""Currency:JPYEUR""),
IF($D88=""HKD"",'Original Data'!R88*GOOGLEFINANCE(""Currency:HKDEUR""),
IF($D88=""KRW"",'Original Data'!R88*GOOGLEFINANCE("&amp;"""Currency:KRWEUR""),""""))))))))"),1.34)</f>
        <v>1.34</v>
      </c>
      <c r="S88" s="8">
        <f>IFERROR(__xludf.DUMMYFUNCTION("IF('Original Data'!S88=""-"",""-"",
IF($D88=""Euro"",'Original Data'!S88,
IF($D88=""Dolar"",'Original Data'!S88*GOOGLEFINANCE(""Currency:USDEUR""),
IF($D88=""Franco Suíço"",'Original Data'!S88*GOOGLEFINANCE(""Currency:CHFEUR""),
IF($D88=""Libra Esterlina"&amp;""", 'Original Data'!S88*GOOGLEFINANCE(""Currency:GBPEUR""),
IF($D88=""Iene"",'Original Data'!S88*GOOGLEFINANCE(""Currency:JPYEUR""),
IF($D88=""HKD"",'Original Data'!S88*GOOGLEFINANCE(""Currency:HKDEUR""),
IF($D88=""KRW"",'Original Data'!S88*GOOGLEFINANCE("&amp;"""Currency:KRWEUR""),""""))))))))"),0.20195)</f>
        <v>0.20195</v>
      </c>
      <c r="T88" s="8">
        <f>IFERROR(__xludf.DUMMYFUNCTION("IF('Original Data'!T88=""-"",""-"",
IF($D88=""Euro"",'Original Data'!T88,
IF($D88=""Dolar"",'Original Data'!T88*GOOGLEFINANCE(""Currency:USDEUR""),
IF($D88=""Franco Suíço"",'Original Data'!T88*GOOGLEFINANCE(""Currency:CHFEUR""),
IF($D88=""Libra Esterlina"&amp;""", 'Original Data'!T88*GOOGLEFINANCE(""Currency:GBPEUR""),
IF($D88=""Iene"",'Original Data'!T88*GOOGLEFINANCE(""Currency:JPYEUR""),
IF($D88=""HKD"",'Original Data'!T88*GOOGLEFINANCE(""Currency:HKDEUR""),
IF($D88=""KRW"",'Original Data'!T88*GOOGLEFINANCE("&amp;"""Currency:KRWEUR""),""""))))))))"),0.22243)</f>
        <v>0.22243</v>
      </c>
      <c r="U88" s="8">
        <f>IFERROR(__xludf.DUMMYFUNCTION("IF('Original Data'!U88=""-"",""-"",
IF($D88=""Euro"",'Original Data'!U88,
IF($D88=""Dolar"",'Original Data'!U88*GOOGLEFINANCE(""Currency:USDEUR""),
IF($D88=""Franco Suíço"",'Original Data'!U88*GOOGLEFINANCE(""Currency:CHFEUR""),
IF($D88=""Libra Esterlina"&amp;""", 'Original Data'!U88*GOOGLEFINANCE(""Currency:GBPEUR""),
IF($D88=""Iene"",'Original Data'!U88*GOOGLEFINANCE(""Currency:JPYEUR""),
IF($D88=""HKD"",'Original Data'!U88*GOOGLEFINANCE(""Currency:HKDEUR""),
IF($D88=""KRW"",'Original Data'!U88*GOOGLEFINANCE("&amp;"""Currency:KRWEUR""),""""))))))))"),0.13699)</f>
        <v>0.13699</v>
      </c>
      <c r="V88" s="8">
        <f>IFERROR(__xludf.DUMMYFUNCTION("IF('Original Data'!V88=""-"",""-"",
IF($D88=""Euro"",'Original Data'!V88,
IF($D88=""Dolar"",'Original Data'!V88*GOOGLEFINANCE(""Currency:USDEUR""),
IF($D88=""Franco Suíço"",'Original Data'!V88*GOOGLEFINANCE(""Currency:CHFEUR""),
IF($D88=""Libra Esterlina"&amp;""", 'Original Data'!V88*GOOGLEFINANCE(""Currency:GBPEUR""),
IF($D88=""Iene"",'Original Data'!V88*GOOGLEFINANCE(""Currency:JPYEUR""),
IF($D88=""HKD"",'Original Data'!V88*GOOGLEFINANCE(""Currency:HKDEUR""),
IF($D88=""KRW"",'Original Data'!V88*GOOGLEFINANCE("&amp;"""Currency:KRWEUR""),""""))))))))"),0.16316)</f>
        <v>0.16316</v>
      </c>
      <c r="W88" s="7" t="s">
        <v>41</v>
      </c>
      <c r="X88" s="7" t="s">
        <v>41</v>
      </c>
      <c r="Y88" s="7" t="s">
        <v>41</v>
      </c>
      <c r="Z88" s="7" t="s">
        <v>41</v>
      </c>
      <c r="AA88" s="7" t="s">
        <v>41</v>
      </c>
      <c r="AB88" s="7" t="s">
        <v>41</v>
      </c>
      <c r="AC88" s="7" t="s">
        <v>41</v>
      </c>
      <c r="AD88" s="7" t="s">
        <v>41</v>
      </c>
      <c r="AE88" s="7" t="s">
        <v>41</v>
      </c>
      <c r="AF88" s="7" t="s">
        <v>41</v>
      </c>
      <c r="AG88" s="7" t="s">
        <v>41</v>
      </c>
    </row>
    <row r="89">
      <c r="A89" s="16" t="s">
        <v>309</v>
      </c>
      <c r="B89" s="16" t="s">
        <v>310</v>
      </c>
      <c r="C89" s="16" t="s">
        <v>311</v>
      </c>
      <c r="D89" s="7" t="s">
        <v>40</v>
      </c>
      <c r="E89" s="8">
        <f>IFERROR(__xludf.DUMMYFUNCTION("IF($D89=""Euro"",'Original Data'!E89,
IF($D89=""Dolar"",'Original Data'!E89*GOOGLEFINANCE(""Currency:USDEUR""),
IF($D89=""Franco Suíço"",'Original Data'!E89*GOOGLEFINANCE(""Currency:CHFEUR""),
IF($D89=""Libra Esterlina"", 'Original Data'!E89*GOOGLEFINANCE"&amp;"(""Currency:GBPEUR""),
IF($D89=""Iene"",'Original Data'!E89*GOOGLEFINANCE(""Currency:JPYEUR""),
IF($D89=""HKD"",'Original Data'!E89*GOOGLEFINANCE(""Currency:HKDEUR""),
IF($D89=""KRW"",'Original Data'!E89*GOOGLEFINANCE(""Currency:KRWEUR""),"""")))))))"),27.395389999999995)</f>
        <v>27.39539</v>
      </c>
      <c r="F89" s="8">
        <f>IFERROR(__xludf.DUMMYFUNCTION("IF($D89=""Euro"",'Original Data'!F89,
IF($D89=""Dolar"",'Original Data'!F89*GOOGLEFINANCE(""Currency:USDEUR""),
IF($D89=""Franco Suíço"",'Original Data'!F89*GOOGLEFINANCE(""Currency:CHFEUR""),
IF($D89=""Libra Esterlina"", 'Original Data'!F89*GOOGLEFINANCE"&amp;"(""Currency:GBPEUR""),
IF($D89=""Iene"",'Original Data'!F89*GOOGLEFINANCE(""Currency:JPYEUR""),
IF($D89=""HKD"",'Original Data'!F89*GOOGLEFINANCE(""Currency:HKDEUR""),
IF($D89=""KRW"",'Original Data'!F89*GOOGLEFINANCE(""Currency:KRWEUR""),"""")))))))"),86.42276)</f>
        <v>86.42276</v>
      </c>
      <c r="G89" s="8">
        <f>IFERROR(__xludf.DUMMYFUNCTION("IF($D89=""Euro"",'Original Data'!G89,
IF($D89=""Dolar"",'Original Data'!G89*GOOGLEFINANCE(""Currency:USDEUR""),
IF($D89=""Franco Suíço"",'Original Data'!G89*GOOGLEFINANCE(""Currency:CHFEUR""),
IF($D89=""Libra Esterlina"", 'Original Data'!G89*GOOGLEFINANCE"&amp;"(""Currency:GBPEUR""),
IF($D89=""Iene"",'Original Data'!G89*GOOGLEFINANCE(""Currency:JPYEUR""),
IF($D89=""HKD"",'Original Data'!G89*GOOGLEFINANCE(""Currency:HKDEUR""),
IF($D89=""KRW"",'Original Data'!G89*GOOGLEFINANCE(""Currency:KRWEUR""),"""")))))))"),9.417912)</f>
        <v>9.417912</v>
      </c>
      <c r="H89" s="17">
        <v>0.999921</v>
      </c>
      <c r="I89" s="7" t="s">
        <v>41</v>
      </c>
      <c r="J89" s="7" t="s">
        <v>51</v>
      </c>
      <c r="K89" s="9">
        <v>0.0285</v>
      </c>
      <c r="L89" s="9">
        <v>0.0247</v>
      </c>
      <c r="M89" s="9">
        <v>0.0576</v>
      </c>
      <c r="N89" s="8">
        <f>IFERROR(__xludf.DUMMYFUNCTION("IF('Original Data'!N89=""-"",""-"",
IF($D89=""Euro"",'Original Data'!N89,
IF($D89=""Dolar"",'Original Data'!N89*GOOGLEFINANCE(""Currency:USDEUR""),
IF($D89=""Franco Suíço"",'Original Data'!N89*GOOGLEFINANCE(""Currency:CHFEUR""),
IF($D89=""Libra Esterlina"&amp;""", 'Original Data'!N89*GOOGLEFINANCE(""Currency:GBPEUR""),
IF($D89=""Iene"",'Original Data'!N89*GOOGLEFINANCE(""Currency:JPYEUR""),
IF($D89=""HKD"",'Original Data'!N89*GOOGLEFINANCE(""Currency:HKDEUR""),
IF($D89=""KRW"",'Original Data'!N89*GOOGLEFINANCE("&amp;"""Currency:KRWEUR""),""""))))))))"),-1.9666599999999999)</f>
        <v>-1.96666</v>
      </c>
      <c r="O89" s="8">
        <f>IFERROR(__xludf.DUMMYFUNCTION("IF('Original Data'!O89=""-"",""-"",
IF($D89=""Euro"",'Original Data'!O89,
IF($D89=""Dolar"",'Original Data'!O89*GOOGLEFINANCE(""Currency:USDEUR""),
IF($D89=""Franco Suíço"",'Original Data'!O89*GOOGLEFINANCE(""Currency:CHFEUR""),
IF($D89=""Libra Esterlina"&amp;""", 'Original Data'!O89*GOOGLEFINANCE(""Currency:GBPEUR""),
IF($D89=""Iene"",'Original Data'!O89*GOOGLEFINANCE(""Currency:JPYEUR""),
IF($D89=""HKD"",'Original Data'!O89*GOOGLEFINANCE(""Currency:HKDEUR""),
IF($D89=""KRW"",'Original Data'!O89*GOOGLEFINANCE("&amp;"""Currency:KRWEUR""),""""))))))))"),4.08955)</f>
        <v>4.08955</v>
      </c>
      <c r="P89" s="8">
        <f>IFERROR(__xludf.DUMMYFUNCTION("IF('Original Data'!P89=""-"",""-"",
IF($D89=""Euro"",'Original Data'!P89,
IF($D89=""Dolar"",'Original Data'!P89*GOOGLEFINANCE(""Currency:USDEUR""),
IF($D89=""Franco Suíço"",'Original Data'!P89*GOOGLEFINANCE(""Currency:CHFEUR""),
IF($D89=""Libra Esterlina"&amp;""", 'Original Data'!P89*GOOGLEFINANCE(""Currency:GBPEUR""),
IF($D89=""Iene"",'Original Data'!P89*GOOGLEFINANCE(""Currency:JPYEUR""),
IF($D89=""HKD"",'Original Data'!P89*GOOGLEFINANCE(""Currency:HKDEUR""),
IF($D89=""KRW"",'Original Data'!P89*GOOGLEFINANCE("&amp;"""Currency:KRWEUR""),""""))))))))"),4.613379999999999)</f>
        <v>4.61338</v>
      </c>
      <c r="Q89" s="8">
        <f>IFERROR(__xludf.DUMMYFUNCTION("IF('Original Data'!Q89=""-"",""-"",
IF($D89=""Euro"",'Original Data'!Q89,
IF($D89=""Dolar"",'Original Data'!Q89*GOOGLEFINANCE(""Currency:USDEUR""),
IF($D89=""Franco Suíço"",'Original Data'!Q89*GOOGLEFINANCE(""Currency:CHFEUR""),
IF($D89=""Libra Esterlina"&amp;""", 'Original Data'!Q89*GOOGLEFINANCE(""Currency:GBPEUR""),
IF($D89=""Iene"",'Original Data'!Q89*GOOGLEFINANCE(""Currency:JPYEUR""),
IF($D89=""HKD"",'Original Data'!Q89*GOOGLEFINANCE(""Currency:HKDEUR""),
IF($D89=""KRW"",'Original Data'!Q89*GOOGLEFINANCE("&amp;"""Currency:KRWEUR""),""""))))))))"),1.9023299999999996)</f>
        <v>1.90233</v>
      </c>
      <c r="R89" s="8">
        <f>IFERROR(__xludf.DUMMYFUNCTION("IF('Original Data'!R89=""-"",""-"",
IF($D89=""Euro"",'Original Data'!R89,
IF($D89=""Dolar"",'Original Data'!R89*GOOGLEFINANCE(""Currency:USDEUR""),
IF($D89=""Franco Suíço"",'Original Data'!R89*GOOGLEFINANCE(""Currency:CHFEUR""),
IF($D89=""Libra Esterlina"&amp;""", 'Original Data'!R89*GOOGLEFINANCE(""Currency:GBPEUR""),
IF($D89=""Iene"",'Original Data'!R89*GOOGLEFINANCE(""Currency:JPYEUR""),
IF($D89=""HKD"",'Original Data'!R89*GOOGLEFINANCE(""Currency:HKDEUR""),
IF($D89=""KRW"",'Original Data'!R89*GOOGLEFINANCE("&amp;"""Currency:KRWEUR""),""""))))))))"),2.7845699999999995)</f>
        <v>2.78457</v>
      </c>
      <c r="S89" s="8">
        <f>IFERROR(__xludf.DUMMYFUNCTION("IF('Original Data'!S89=""-"",""-"",
IF($D89=""Euro"",'Original Data'!S89,
IF($D89=""Dolar"",'Original Data'!S89*GOOGLEFINANCE(""Currency:USDEUR""),
IF($D89=""Franco Suíço"",'Original Data'!S89*GOOGLEFINANCE(""Currency:CHFEUR""),
IF($D89=""Libra Esterlina"&amp;""", 'Original Data'!S89*GOOGLEFINANCE(""Currency:GBPEUR""),
IF($D89=""Iene"",'Original Data'!S89*GOOGLEFINANCE(""Currency:JPYEUR""),
IF($D89=""HKD"",'Original Data'!S89*GOOGLEFINANCE(""Currency:HKDEUR""),
IF($D89=""KRW"",'Original Data'!S89*GOOGLEFINANCE("&amp;"""Currency:KRWEUR""),""""))))))))"),0.5513999999999999)</f>
        <v>0.5514</v>
      </c>
      <c r="T89" s="8">
        <f>IFERROR(__xludf.DUMMYFUNCTION("IF('Original Data'!T89=""-"",""-"",
IF($D89=""Euro"",'Original Data'!T89,
IF($D89=""Dolar"",'Original Data'!T89*GOOGLEFINANCE(""Currency:USDEUR""),
IF($D89=""Franco Suíço"",'Original Data'!T89*GOOGLEFINANCE(""Currency:CHFEUR""),
IF($D89=""Libra Esterlina"&amp;""", 'Original Data'!T89*GOOGLEFINANCE(""Currency:GBPEUR""),
IF($D89=""Iene"",'Original Data'!T89*GOOGLEFINANCE(""Currency:JPYEUR""),
IF($D89=""HKD"",'Original Data'!T89*GOOGLEFINANCE(""Currency:HKDEUR""),
IF($D89=""KRW"",'Original Data'!T89*GOOGLEFINANCE("&amp;"""Currency:KRWEUR""),""""))))))))"),0.47696099999999997)</f>
        <v>0.476961</v>
      </c>
      <c r="U89" s="8">
        <f>IFERROR(__xludf.DUMMYFUNCTION("IF('Original Data'!U89=""-"",""-"",
IF($D89=""Euro"",'Original Data'!U89,
IF($D89=""Dolar"",'Original Data'!U89*GOOGLEFINANCE(""Currency:USDEUR""),
IF($D89=""Franco Suíço"",'Original Data'!U89*GOOGLEFINANCE(""Currency:CHFEUR""),
IF($D89=""Libra Esterlina"&amp;""", 'Original Data'!U89*GOOGLEFINANCE(""Currency:GBPEUR""),
IF($D89=""Iene"",'Original Data'!U89*GOOGLEFINANCE(""Currency:JPYEUR""),
IF($D89=""HKD"",'Original Data'!U89*GOOGLEFINANCE(""Currency:HKDEUR""),
IF($D89=""KRW"",'Original Data'!U89*GOOGLEFINANCE("&amp;"""Currency:KRWEUR""),""""))))))))"),-0.31981199999999993)</f>
        <v>-0.319812</v>
      </c>
      <c r="V89" s="8">
        <f>IFERROR(__xludf.DUMMYFUNCTION("IF('Original Data'!V89=""-"",""-"",
IF($D89=""Euro"",'Original Data'!V89,
IF($D89=""Dolar"",'Original Data'!V89*GOOGLEFINANCE(""Currency:USDEUR""),
IF($D89=""Franco Suíço"",'Original Data'!V89*GOOGLEFINANCE(""Currency:CHFEUR""),
IF($D89=""Libra Esterlina"&amp;""", 'Original Data'!V89*GOOGLEFINANCE(""Currency:GBPEUR""),
IF($D89=""Iene"",'Original Data'!V89*GOOGLEFINANCE(""Currency:JPYEUR""),
IF($D89=""HKD"",'Original Data'!V89*GOOGLEFINANCE(""Currency:HKDEUR""),
IF($D89=""KRW"",'Original Data'!V89*GOOGLEFINANCE("&amp;"""Currency:KRWEUR""),""""))))))))"),0.06984399999999999)</f>
        <v>0.069844</v>
      </c>
      <c r="W89" s="7" t="s">
        <v>42</v>
      </c>
      <c r="X89" s="7" t="s">
        <v>266</v>
      </c>
      <c r="Y89" s="7" t="s">
        <v>41</v>
      </c>
      <c r="Z89" s="7" t="s">
        <v>41</v>
      </c>
      <c r="AA89" s="7" t="s">
        <v>41</v>
      </c>
      <c r="AB89" s="7" t="s">
        <v>41</v>
      </c>
      <c r="AC89" s="7">
        <v>28.0</v>
      </c>
      <c r="AD89" s="7">
        <v>11.8</v>
      </c>
      <c r="AE89" s="7">
        <v>10.8</v>
      </c>
      <c r="AF89" s="7">
        <v>5.3</v>
      </c>
      <c r="AG89" s="7">
        <v>2.0</v>
      </c>
    </row>
    <row r="90">
      <c r="J90" s="12"/>
      <c r="K90" s="12"/>
      <c r="L90" s="12"/>
      <c r="M90" s="12"/>
    </row>
    <row r="91">
      <c r="J91" s="12"/>
      <c r="K91" s="12"/>
      <c r="L91" s="12"/>
      <c r="M91" s="12"/>
    </row>
    <row r="92">
      <c r="J92" s="12"/>
      <c r="K92" s="12"/>
      <c r="L92" s="12"/>
      <c r="M92" s="12"/>
    </row>
    <row r="93">
      <c r="J93" s="12"/>
      <c r="K93" s="12"/>
      <c r="L93" s="12"/>
      <c r="M93" s="12"/>
    </row>
    <row r="94">
      <c r="J94" s="12"/>
      <c r="K94" s="12"/>
      <c r="L94" s="12"/>
      <c r="M94" s="12"/>
    </row>
    <row r="95">
      <c r="J95" s="12"/>
      <c r="K95" s="12"/>
      <c r="L95" s="12"/>
      <c r="M95" s="12"/>
    </row>
    <row r="96">
      <c r="J96" s="12"/>
      <c r="K96" s="12"/>
      <c r="L96" s="12"/>
      <c r="M96" s="12"/>
    </row>
    <row r="97">
      <c r="J97" s="12"/>
      <c r="K97" s="12"/>
      <c r="L97" s="12"/>
      <c r="M97" s="12"/>
    </row>
    <row r="98">
      <c r="J98" s="12"/>
      <c r="K98" s="12"/>
      <c r="L98" s="12"/>
      <c r="M98" s="12"/>
    </row>
    <row r="99">
      <c r="J99" s="12"/>
      <c r="K99" s="12"/>
      <c r="L99" s="12"/>
      <c r="M99" s="12"/>
    </row>
    <row r="100">
      <c r="J100" s="12"/>
      <c r="K100" s="12"/>
      <c r="L100" s="12"/>
      <c r="M100" s="12"/>
    </row>
    <row r="101">
      <c r="J101" s="12"/>
      <c r="K101" s="12"/>
      <c r="L101" s="12"/>
      <c r="M101" s="12"/>
    </row>
    <row r="102">
      <c r="J102" s="12"/>
      <c r="K102" s="12"/>
      <c r="L102" s="12"/>
      <c r="M102" s="12"/>
    </row>
    <row r="103">
      <c r="J103" s="12"/>
      <c r="K103" s="12"/>
      <c r="L103" s="12"/>
      <c r="M103" s="12"/>
    </row>
    <row r="104">
      <c r="J104" s="12"/>
      <c r="K104" s="12"/>
      <c r="L104" s="12"/>
      <c r="M104" s="12"/>
    </row>
    <row r="105">
      <c r="J105" s="12"/>
      <c r="K105" s="12"/>
      <c r="L105" s="12"/>
      <c r="M105" s="12"/>
    </row>
    <row r="106">
      <c r="J106" s="12"/>
      <c r="K106" s="12"/>
      <c r="L106" s="12"/>
      <c r="M106" s="12"/>
    </row>
    <row r="107">
      <c r="J107" s="12"/>
      <c r="K107" s="12"/>
      <c r="L107" s="12"/>
      <c r="M107" s="12"/>
    </row>
    <row r="108">
      <c r="J108" s="12"/>
      <c r="K108" s="12"/>
      <c r="L108" s="12"/>
      <c r="M108" s="12"/>
    </row>
    <row r="109">
      <c r="J109" s="12"/>
      <c r="K109" s="12"/>
      <c r="L109" s="12"/>
      <c r="M109" s="12"/>
    </row>
    <row r="110">
      <c r="J110" s="12"/>
      <c r="K110" s="12"/>
      <c r="L110" s="12"/>
      <c r="M110" s="12"/>
    </row>
    <row r="111">
      <c r="J111" s="12"/>
      <c r="K111" s="12"/>
      <c r="L111" s="12"/>
      <c r="M111" s="12"/>
    </row>
    <row r="112">
      <c r="J112" s="12"/>
      <c r="K112" s="12"/>
      <c r="L112" s="12"/>
      <c r="M112" s="12"/>
    </row>
    <row r="113">
      <c r="J113" s="12"/>
      <c r="K113" s="12"/>
      <c r="L113" s="12"/>
      <c r="M113" s="12"/>
    </row>
    <row r="114">
      <c r="J114" s="12"/>
      <c r="K114" s="12"/>
      <c r="L114" s="12"/>
      <c r="M114" s="12"/>
    </row>
    <row r="115">
      <c r="J115" s="12"/>
      <c r="K115" s="12"/>
      <c r="L115" s="12"/>
      <c r="M115" s="12"/>
    </row>
    <row r="116">
      <c r="J116" s="12"/>
      <c r="K116" s="12"/>
      <c r="L116" s="12"/>
      <c r="M116" s="12"/>
    </row>
    <row r="117">
      <c r="J117" s="12"/>
      <c r="K117" s="12"/>
      <c r="L117" s="12"/>
      <c r="M117" s="12"/>
    </row>
    <row r="118">
      <c r="J118" s="12"/>
      <c r="K118" s="12"/>
      <c r="L118" s="12"/>
      <c r="M118" s="12"/>
    </row>
    <row r="119">
      <c r="J119" s="12"/>
      <c r="K119" s="12"/>
      <c r="L119" s="12"/>
      <c r="M119" s="12"/>
    </row>
    <row r="120">
      <c r="J120" s="12"/>
      <c r="K120" s="12"/>
      <c r="L120" s="12"/>
      <c r="M120" s="12"/>
    </row>
    <row r="121">
      <c r="J121" s="12"/>
      <c r="K121" s="12"/>
      <c r="L121" s="12"/>
      <c r="M121" s="12"/>
    </row>
    <row r="122">
      <c r="J122" s="12"/>
      <c r="K122" s="12"/>
      <c r="L122" s="12"/>
      <c r="M122" s="12"/>
    </row>
    <row r="123">
      <c r="J123" s="12"/>
      <c r="K123" s="12"/>
      <c r="L123" s="12"/>
      <c r="M123" s="12"/>
    </row>
    <row r="124">
      <c r="J124" s="12"/>
      <c r="K124" s="12"/>
      <c r="L124" s="12"/>
      <c r="M124" s="12"/>
    </row>
    <row r="125">
      <c r="J125" s="12"/>
      <c r="K125" s="12"/>
      <c r="L125" s="12"/>
      <c r="M125" s="12"/>
    </row>
    <row r="126">
      <c r="J126" s="12"/>
      <c r="K126" s="12"/>
      <c r="L126" s="12"/>
      <c r="M126" s="12"/>
    </row>
    <row r="127">
      <c r="J127" s="12"/>
      <c r="K127" s="12"/>
      <c r="L127" s="12"/>
      <c r="M127" s="12"/>
    </row>
    <row r="128">
      <c r="J128" s="12"/>
      <c r="K128" s="12"/>
      <c r="L128" s="12"/>
      <c r="M128" s="12"/>
    </row>
    <row r="129">
      <c r="J129" s="12"/>
      <c r="K129" s="12"/>
      <c r="L129" s="12"/>
      <c r="M129" s="12"/>
    </row>
    <row r="130">
      <c r="J130" s="12"/>
      <c r="K130" s="12"/>
      <c r="L130" s="12"/>
      <c r="M130" s="12"/>
    </row>
    <row r="131">
      <c r="J131" s="12"/>
      <c r="K131" s="12"/>
      <c r="L131" s="12"/>
      <c r="M131" s="12"/>
    </row>
    <row r="132">
      <c r="J132" s="12"/>
      <c r="K132" s="12"/>
      <c r="L132" s="12"/>
      <c r="M132" s="12"/>
    </row>
    <row r="133">
      <c r="J133" s="12"/>
      <c r="K133" s="12"/>
      <c r="L133" s="12"/>
      <c r="M133" s="12"/>
    </row>
    <row r="134">
      <c r="J134" s="12"/>
      <c r="K134" s="12"/>
      <c r="L134" s="12"/>
      <c r="M134" s="12"/>
    </row>
    <row r="135">
      <c r="J135" s="12"/>
      <c r="K135" s="12"/>
      <c r="L135" s="12"/>
      <c r="M135" s="12"/>
    </row>
    <row r="136">
      <c r="J136" s="12"/>
      <c r="K136" s="12"/>
      <c r="L136" s="12"/>
      <c r="M136" s="12"/>
    </row>
    <row r="137">
      <c r="J137" s="12"/>
      <c r="K137" s="12"/>
      <c r="L137" s="12"/>
      <c r="M137" s="12"/>
    </row>
    <row r="138">
      <c r="J138" s="12"/>
      <c r="K138" s="12"/>
      <c r="L138" s="12"/>
      <c r="M138" s="12"/>
    </row>
    <row r="139">
      <c r="J139" s="12"/>
      <c r="K139" s="12"/>
      <c r="L139" s="12"/>
      <c r="M139" s="12"/>
    </row>
    <row r="140">
      <c r="J140" s="12"/>
      <c r="K140" s="12"/>
      <c r="L140" s="12"/>
      <c r="M140" s="12"/>
    </row>
    <row r="141">
      <c r="J141" s="12"/>
      <c r="K141" s="12"/>
      <c r="L141" s="12"/>
      <c r="M141" s="12"/>
    </row>
    <row r="142">
      <c r="J142" s="12"/>
      <c r="K142" s="12"/>
      <c r="L142" s="12"/>
      <c r="M142" s="12"/>
    </row>
    <row r="143">
      <c r="J143" s="12"/>
      <c r="K143" s="12"/>
      <c r="L143" s="12"/>
      <c r="M143" s="12"/>
    </row>
    <row r="144">
      <c r="J144" s="12"/>
      <c r="K144" s="12"/>
      <c r="L144" s="12"/>
      <c r="M144" s="12"/>
    </row>
    <row r="145">
      <c r="J145" s="12"/>
      <c r="K145" s="12"/>
      <c r="L145" s="12"/>
      <c r="M145" s="12"/>
    </row>
    <row r="146">
      <c r="J146" s="12"/>
      <c r="K146" s="12"/>
      <c r="L146" s="12"/>
      <c r="M146" s="12"/>
    </row>
    <row r="147">
      <c r="J147" s="12"/>
      <c r="K147" s="12"/>
      <c r="L147" s="12"/>
      <c r="M147" s="12"/>
    </row>
    <row r="148">
      <c r="J148" s="12"/>
      <c r="K148" s="12"/>
      <c r="L148" s="12"/>
      <c r="M148" s="12"/>
    </row>
    <row r="149">
      <c r="J149" s="12"/>
      <c r="K149" s="12"/>
      <c r="L149" s="12"/>
      <c r="M149" s="12"/>
    </row>
    <row r="150">
      <c r="J150" s="12"/>
      <c r="K150" s="12"/>
      <c r="L150" s="12"/>
      <c r="M150" s="12"/>
    </row>
    <row r="151">
      <c r="J151" s="12"/>
      <c r="K151" s="12"/>
      <c r="L151" s="12"/>
      <c r="M151" s="12"/>
    </row>
    <row r="152">
      <c r="J152" s="12"/>
      <c r="K152" s="12"/>
      <c r="L152" s="12"/>
      <c r="M152" s="12"/>
    </row>
    <row r="153">
      <c r="J153" s="12"/>
      <c r="K153" s="12"/>
      <c r="L153" s="12"/>
      <c r="M153" s="12"/>
    </row>
    <row r="154">
      <c r="J154" s="12"/>
      <c r="K154" s="12"/>
      <c r="L154" s="12"/>
      <c r="M154" s="12"/>
    </row>
    <row r="155">
      <c r="J155" s="12"/>
      <c r="K155" s="12"/>
      <c r="L155" s="12"/>
      <c r="M155" s="12"/>
    </row>
    <row r="156">
      <c r="J156" s="12"/>
      <c r="K156" s="12"/>
      <c r="L156" s="12"/>
      <c r="M156" s="12"/>
    </row>
    <row r="157">
      <c r="J157" s="12"/>
      <c r="K157" s="12"/>
      <c r="L157" s="12"/>
      <c r="M157" s="12"/>
    </row>
    <row r="158">
      <c r="J158" s="12"/>
      <c r="K158" s="12"/>
      <c r="L158" s="12"/>
      <c r="M158" s="12"/>
    </row>
    <row r="159">
      <c r="J159" s="12"/>
      <c r="K159" s="12"/>
      <c r="L159" s="12"/>
      <c r="M159" s="12"/>
    </row>
    <row r="160">
      <c r="J160" s="12"/>
      <c r="K160" s="12"/>
      <c r="L160" s="12"/>
      <c r="M160" s="12"/>
    </row>
    <row r="161">
      <c r="J161" s="12"/>
      <c r="K161" s="12"/>
      <c r="L161" s="12"/>
      <c r="M161" s="12"/>
    </row>
    <row r="162">
      <c r="J162" s="12"/>
      <c r="K162" s="12"/>
      <c r="L162" s="12"/>
      <c r="M162" s="12"/>
    </row>
    <row r="163">
      <c r="J163" s="12"/>
      <c r="K163" s="12"/>
      <c r="L163" s="12"/>
      <c r="M163" s="12"/>
    </row>
    <row r="164">
      <c r="J164" s="12"/>
      <c r="K164" s="12"/>
      <c r="L164" s="12"/>
      <c r="M164" s="12"/>
    </row>
    <row r="165">
      <c r="J165" s="12"/>
      <c r="K165" s="12"/>
      <c r="L165" s="12"/>
      <c r="M165" s="12"/>
    </row>
    <row r="166">
      <c r="J166" s="12"/>
      <c r="K166" s="12"/>
      <c r="L166" s="12"/>
      <c r="M166" s="12"/>
    </row>
    <row r="167">
      <c r="J167" s="12"/>
      <c r="K167" s="12"/>
      <c r="L167" s="12"/>
      <c r="M167" s="12"/>
    </row>
    <row r="168">
      <c r="J168" s="12"/>
      <c r="K168" s="12"/>
      <c r="L168" s="12"/>
      <c r="M168" s="12"/>
    </row>
    <row r="169">
      <c r="J169" s="12"/>
      <c r="K169" s="12"/>
      <c r="L169" s="12"/>
      <c r="M169" s="12"/>
    </row>
    <row r="170">
      <c r="J170" s="12"/>
      <c r="K170" s="12"/>
      <c r="L170" s="12"/>
      <c r="M170" s="12"/>
    </row>
    <row r="171">
      <c r="J171" s="12"/>
      <c r="K171" s="12"/>
      <c r="L171" s="12"/>
      <c r="M171" s="12"/>
    </row>
    <row r="172">
      <c r="J172" s="12"/>
      <c r="K172" s="12"/>
      <c r="L172" s="12"/>
      <c r="M172" s="12"/>
    </row>
    <row r="173">
      <c r="J173" s="12"/>
      <c r="K173" s="12"/>
      <c r="L173" s="12"/>
      <c r="M173" s="12"/>
    </row>
    <row r="174">
      <c r="J174" s="12"/>
      <c r="K174" s="12"/>
      <c r="L174" s="12"/>
      <c r="M174" s="12"/>
    </row>
    <row r="175">
      <c r="J175" s="12"/>
      <c r="K175" s="12"/>
      <c r="L175" s="12"/>
      <c r="M175" s="12"/>
    </row>
    <row r="176">
      <c r="J176" s="12"/>
      <c r="K176" s="12"/>
      <c r="L176" s="12"/>
      <c r="M176" s="12"/>
    </row>
    <row r="177">
      <c r="J177" s="12"/>
      <c r="K177" s="12"/>
      <c r="L177" s="12"/>
      <c r="M177" s="12"/>
    </row>
    <row r="178">
      <c r="J178" s="12"/>
      <c r="K178" s="12"/>
      <c r="L178" s="12"/>
      <c r="M178" s="12"/>
    </row>
    <row r="179">
      <c r="J179" s="12"/>
      <c r="K179" s="12"/>
      <c r="L179" s="12"/>
      <c r="M179" s="12"/>
    </row>
    <row r="180">
      <c r="J180" s="12"/>
      <c r="K180" s="12"/>
      <c r="L180" s="12"/>
      <c r="M180" s="12"/>
    </row>
    <row r="181">
      <c r="J181" s="12"/>
      <c r="K181" s="12"/>
      <c r="L181" s="12"/>
      <c r="M181" s="12"/>
    </row>
    <row r="182">
      <c r="J182" s="12"/>
      <c r="K182" s="12"/>
      <c r="L182" s="12"/>
      <c r="M182" s="12"/>
    </row>
    <row r="183">
      <c r="J183" s="12"/>
      <c r="K183" s="12"/>
      <c r="L183" s="12"/>
      <c r="M183" s="12"/>
    </row>
    <row r="184">
      <c r="J184" s="12"/>
      <c r="K184" s="12"/>
      <c r="L184" s="12"/>
      <c r="M184" s="12"/>
    </row>
    <row r="185">
      <c r="J185" s="12"/>
      <c r="K185" s="12"/>
      <c r="L185" s="12"/>
      <c r="M185" s="12"/>
    </row>
    <row r="186">
      <c r="J186" s="12"/>
      <c r="K186" s="12"/>
      <c r="L186" s="12"/>
      <c r="M186" s="12"/>
    </row>
    <row r="187">
      <c r="J187" s="12"/>
      <c r="K187" s="12"/>
      <c r="L187" s="12"/>
      <c r="M187" s="12"/>
    </row>
    <row r="188">
      <c r="J188" s="12"/>
      <c r="K188" s="12"/>
      <c r="L188" s="12"/>
      <c r="M188" s="12"/>
    </row>
    <row r="189">
      <c r="J189" s="12"/>
      <c r="K189" s="12"/>
      <c r="L189" s="12"/>
      <c r="M189" s="12"/>
    </row>
    <row r="190">
      <c r="J190" s="12"/>
      <c r="K190" s="12"/>
      <c r="L190" s="12"/>
      <c r="M190" s="12"/>
    </row>
    <row r="191">
      <c r="J191" s="12"/>
      <c r="K191" s="12"/>
      <c r="L191" s="12"/>
      <c r="M191" s="12"/>
    </row>
    <row r="192">
      <c r="J192" s="12"/>
      <c r="K192" s="12"/>
      <c r="L192" s="12"/>
      <c r="M192" s="12"/>
    </row>
    <row r="193">
      <c r="J193" s="12"/>
      <c r="K193" s="12"/>
      <c r="L193" s="12"/>
      <c r="M193" s="12"/>
    </row>
    <row r="194">
      <c r="J194" s="12"/>
      <c r="K194" s="12"/>
      <c r="L194" s="12"/>
      <c r="M194" s="12"/>
    </row>
    <row r="195">
      <c r="J195" s="12"/>
      <c r="K195" s="12"/>
      <c r="L195" s="12"/>
      <c r="M195" s="12"/>
    </row>
    <row r="196">
      <c r="J196" s="12"/>
      <c r="K196" s="12"/>
      <c r="L196" s="12"/>
      <c r="M196" s="12"/>
    </row>
    <row r="197">
      <c r="J197" s="12"/>
      <c r="K197" s="12"/>
      <c r="L197" s="12"/>
      <c r="M197" s="12"/>
    </row>
    <row r="198">
      <c r="J198" s="12"/>
      <c r="K198" s="12"/>
      <c r="L198" s="12"/>
      <c r="M198" s="12"/>
    </row>
    <row r="199">
      <c r="J199" s="12"/>
      <c r="K199" s="12"/>
      <c r="L199" s="12"/>
      <c r="M199" s="12"/>
    </row>
    <row r="200">
      <c r="J200" s="12"/>
      <c r="K200" s="12"/>
      <c r="L200" s="12"/>
      <c r="M200" s="12"/>
    </row>
    <row r="201">
      <c r="J201" s="12"/>
      <c r="K201" s="12"/>
      <c r="L201" s="12"/>
      <c r="M201" s="12"/>
    </row>
    <row r="202">
      <c r="J202" s="12"/>
      <c r="K202" s="12"/>
      <c r="L202" s="12"/>
      <c r="M202" s="12"/>
    </row>
    <row r="203">
      <c r="J203" s="12"/>
      <c r="K203" s="12"/>
      <c r="L203" s="12"/>
      <c r="M203" s="12"/>
    </row>
    <row r="204">
      <c r="J204" s="12"/>
      <c r="K204" s="12"/>
      <c r="L204" s="12"/>
      <c r="M204" s="12"/>
    </row>
    <row r="205">
      <c r="J205" s="12"/>
      <c r="K205" s="12"/>
      <c r="L205" s="12"/>
      <c r="M205" s="12"/>
    </row>
    <row r="206">
      <c r="J206" s="12"/>
      <c r="K206" s="12"/>
      <c r="L206" s="12"/>
      <c r="M206" s="12"/>
    </row>
    <row r="207">
      <c r="J207" s="12"/>
      <c r="K207" s="12"/>
      <c r="L207" s="12"/>
      <c r="M207" s="12"/>
    </row>
    <row r="208">
      <c r="J208" s="12"/>
      <c r="K208" s="12"/>
      <c r="L208" s="12"/>
      <c r="M208" s="12"/>
    </row>
    <row r="209">
      <c r="J209" s="12"/>
      <c r="K209" s="12"/>
      <c r="L209" s="12"/>
      <c r="M209" s="12"/>
    </row>
    <row r="210">
      <c r="J210" s="12"/>
      <c r="K210" s="12"/>
      <c r="L210" s="12"/>
      <c r="M210" s="12"/>
    </row>
    <row r="211">
      <c r="J211" s="12"/>
      <c r="K211" s="12"/>
      <c r="L211" s="12"/>
      <c r="M211" s="12"/>
    </row>
    <row r="212">
      <c r="J212" s="12"/>
      <c r="K212" s="12"/>
      <c r="L212" s="12"/>
      <c r="M212" s="12"/>
    </row>
    <row r="213">
      <c r="J213" s="12"/>
      <c r="K213" s="12"/>
      <c r="L213" s="12"/>
      <c r="M213" s="12"/>
    </row>
    <row r="214">
      <c r="J214" s="12"/>
      <c r="K214" s="12"/>
      <c r="L214" s="12"/>
      <c r="M214" s="12"/>
    </row>
    <row r="215">
      <c r="J215" s="12"/>
      <c r="K215" s="12"/>
      <c r="L215" s="12"/>
      <c r="M215" s="12"/>
    </row>
    <row r="216">
      <c r="J216" s="12"/>
      <c r="K216" s="12"/>
      <c r="L216" s="12"/>
      <c r="M216" s="12"/>
    </row>
    <row r="217">
      <c r="J217" s="12"/>
      <c r="K217" s="12"/>
      <c r="L217" s="12"/>
      <c r="M217" s="12"/>
    </row>
    <row r="218">
      <c r="J218" s="12"/>
      <c r="K218" s="12"/>
      <c r="L218" s="12"/>
      <c r="M218" s="12"/>
    </row>
    <row r="219">
      <c r="J219" s="12"/>
      <c r="K219" s="12"/>
      <c r="L219" s="12"/>
      <c r="M219" s="12"/>
    </row>
    <row r="220">
      <c r="J220" s="12"/>
      <c r="K220" s="12"/>
      <c r="L220" s="12"/>
      <c r="M220" s="12"/>
    </row>
    <row r="221">
      <c r="J221" s="12"/>
      <c r="K221" s="12"/>
      <c r="L221" s="12"/>
      <c r="M221" s="12"/>
    </row>
    <row r="222">
      <c r="J222" s="12"/>
      <c r="K222" s="12"/>
      <c r="L222" s="12"/>
      <c r="M222" s="12"/>
    </row>
    <row r="223">
      <c r="J223" s="12"/>
      <c r="K223" s="12"/>
      <c r="L223" s="12"/>
      <c r="M223" s="12"/>
    </row>
    <row r="224">
      <c r="J224" s="12"/>
      <c r="K224" s="12"/>
      <c r="L224" s="12"/>
      <c r="M224" s="12"/>
    </row>
    <row r="225">
      <c r="J225" s="12"/>
      <c r="K225" s="12"/>
      <c r="L225" s="12"/>
      <c r="M225" s="12"/>
    </row>
    <row r="226">
      <c r="J226" s="12"/>
      <c r="K226" s="12"/>
      <c r="L226" s="12"/>
      <c r="M226" s="12"/>
    </row>
    <row r="227">
      <c r="J227" s="12"/>
      <c r="K227" s="12"/>
      <c r="L227" s="12"/>
      <c r="M227" s="12"/>
    </row>
    <row r="228">
      <c r="J228" s="12"/>
      <c r="K228" s="12"/>
      <c r="L228" s="12"/>
      <c r="M228" s="12"/>
    </row>
    <row r="229">
      <c r="J229" s="12"/>
      <c r="K229" s="12"/>
      <c r="L229" s="12"/>
      <c r="M229" s="12"/>
    </row>
    <row r="230">
      <c r="J230" s="12"/>
      <c r="K230" s="12"/>
      <c r="L230" s="12"/>
      <c r="M230" s="12"/>
    </row>
    <row r="231">
      <c r="J231" s="12"/>
      <c r="K231" s="12"/>
      <c r="L231" s="12"/>
      <c r="M231" s="12"/>
    </row>
    <row r="232">
      <c r="J232" s="12"/>
      <c r="K232" s="12"/>
      <c r="L232" s="12"/>
      <c r="M232" s="12"/>
    </row>
    <row r="233">
      <c r="J233" s="12"/>
      <c r="K233" s="12"/>
      <c r="L233" s="12"/>
      <c r="M233" s="12"/>
    </row>
    <row r="234">
      <c r="J234" s="12"/>
      <c r="K234" s="12"/>
      <c r="L234" s="12"/>
      <c r="M234" s="12"/>
    </row>
    <row r="235">
      <c r="J235" s="12"/>
      <c r="K235" s="12"/>
      <c r="L235" s="12"/>
      <c r="M235" s="12"/>
    </row>
    <row r="236">
      <c r="J236" s="12"/>
      <c r="K236" s="12"/>
      <c r="L236" s="12"/>
      <c r="M236" s="12"/>
    </row>
    <row r="237">
      <c r="J237" s="12"/>
      <c r="K237" s="12"/>
      <c r="L237" s="12"/>
      <c r="M237" s="12"/>
    </row>
    <row r="238">
      <c r="J238" s="12"/>
      <c r="K238" s="12"/>
      <c r="L238" s="12"/>
      <c r="M238" s="12"/>
    </row>
    <row r="239">
      <c r="J239" s="12"/>
      <c r="K239" s="12"/>
      <c r="L239" s="12"/>
      <c r="M239" s="12"/>
    </row>
    <row r="240">
      <c r="J240" s="12"/>
      <c r="K240" s="12"/>
      <c r="L240" s="12"/>
      <c r="M240" s="12"/>
    </row>
    <row r="241">
      <c r="J241" s="12"/>
      <c r="K241" s="12"/>
      <c r="L241" s="12"/>
      <c r="M241" s="12"/>
    </row>
    <row r="242">
      <c r="J242" s="12"/>
      <c r="K242" s="12"/>
      <c r="L242" s="12"/>
      <c r="M242" s="12"/>
    </row>
    <row r="243">
      <c r="J243" s="12"/>
      <c r="K243" s="12"/>
      <c r="L243" s="12"/>
      <c r="M243" s="12"/>
    </row>
    <row r="244">
      <c r="J244" s="12"/>
      <c r="K244" s="12"/>
      <c r="L244" s="12"/>
      <c r="M244" s="12"/>
    </row>
    <row r="245">
      <c r="J245" s="12"/>
      <c r="K245" s="12"/>
      <c r="L245" s="12"/>
      <c r="M245" s="12"/>
    </row>
    <row r="246">
      <c r="J246" s="12"/>
      <c r="K246" s="12"/>
      <c r="L246" s="12"/>
      <c r="M246" s="12"/>
    </row>
    <row r="247">
      <c r="J247" s="12"/>
      <c r="K247" s="12"/>
      <c r="L247" s="12"/>
      <c r="M247" s="12"/>
    </row>
    <row r="248">
      <c r="J248" s="12"/>
      <c r="K248" s="12"/>
      <c r="L248" s="12"/>
      <c r="M248" s="12"/>
    </row>
    <row r="249">
      <c r="J249" s="12"/>
      <c r="K249" s="12"/>
      <c r="L249" s="12"/>
      <c r="M249" s="12"/>
    </row>
    <row r="250">
      <c r="J250" s="12"/>
      <c r="K250" s="12"/>
      <c r="L250" s="12"/>
      <c r="M250" s="12"/>
    </row>
    <row r="251">
      <c r="J251" s="12"/>
      <c r="K251" s="12"/>
      <c r="L251" s="12"/>
      <c r="M251" s="12"/>
    </row>
    <row r="252">
      <c r="J252" s="12"/>
      <c r="K252" s="12"/>
      <c r="L252" s="12"/>
      <c r="M252" s="12"/>
    </row>
    <row r="253">
      <c r="J253" s="12"/>
      <c r="K253" s="12"/>
      <c r="L253" s="12"/>
      <c r="M253" s="12"/>
    </row>
    <row r="254">
      <c r="J254" s="12"/>
      <c r="K254" s="12"/>
      <c r="L254" s="12"/>
      <c r="M254" s="12"/>
    </row>
    <row r="255">
      <c r="J255" s="12"/>
      <c r="K255" s="12"/>
      <c r="L255" s="12"/>
      <c r="M255" s="12"/>
    </row>
    <row r="256">
      <c r="J256" s="12"/>
      <c r="K256" s="12"/>
      <c r="L256" s="12"/>
      <c r="M256" s="12"/>
    </row>
    <row r="257">
      <c r="J257" s="12"/>
      <c r="K257" s="12"/>
      <c r="L257" s="12"/>
      <c r="M257" s="12"/>
    </row>
    <row r="258">
      <c r="J258" s="12"/>
      <c r="K258" s="12"/>
      <c r="L258" s="12"/>
      <c r="M258" s="12"/>
    </row>
    <row r="259">
      <c r="J259" s="12"/>
      <c r="K259" s="12"/>
      <c r="L259" s="12"/>
      <c r="M259" s="12"/>
    </row>
    <row r="260">
      <c r="J260" s="12"/>
      <c r="K260" s="12"/>
      <c r="L260" s="12"/>
      <c r="M260" s="12"/>
    </row>
    <row r="261">
      <c r="J261" s="12"/>
      <c r="K261" s="12"/>
      <c r="L261" s="12"/>
      <c r="M261" s="12"/>
    </row>
    <row r="262">
      <c r="J262" s="12"/>
      <c r="K262" s="12"/>
      <c r="L262" s="12"/>
      <c r="M262" s="12"/>
    </row>
    <row r="263">
      <c r="J263" s="12"/>
      <c r="K263" s="12"/>
      <c r="L263" s="12"/>
      <c r="M263" s="12"/>
    </row>
    <row r="264">
      <c r="J264" s="12"/>
      <c r="K264" s="12"/>
      <c r="L264" s="12"/>
      <c r="M264" s="12"/>
    </row>
    <row r="265">
      <c r="J265" s="12"/>
      <c r="K265" s="12"/>
      <c r="L265" s="12"/>
      <c r="M265" s="12"/>
    </row>
    <row r="266">
      <c r="J266" s="12"/>
      <c r="K266" s="12"/>
      <c r="L266" s="12"/>
      <c r="M266" s="12"/>
    </row>
    <row r="267">
      <c r="J267" s="12"/>
      <c r="K267" s="12"/>
      <c r="L267" s="12"/>
      <c r="M267" s="12"/>
    </row>
    <row r="268">
      <c r="J268" s="12"/>
      <c r="K268" s="12"/>
      <c r="L268" s="12"/>
      <c r="M268" s="12"/>
    </row>
    <row r="269">
      <c r="J269" s="12"/>
      <c r="K269" s="12"/>
      <c r="L269" s="12"/>
      <c r="M269" s="12"/>
    </row>
    <row r="270">
      <c r="J270" s="12"/>
      <c r="K270" s="12"/>
      <c r="L270" s="12"/>
      <c r="M270" s="12"/>
    </row>
    <row r="271">
      <c r="J271" s="12"/>
      <c r="K271" s="12"/>
      <c r="L271" s="12"/>
      <c r="M271" s="12"/>
    </row>
    <row r="272">
      <c r="J272" s="12"/>
      <c r="K272" s="12"/>
      <c r="L272" s="12"/>
      <c r="M272" s="12"/>
    </row>
    <row r="273">
      <c r="J273" s="12"/>
      <c r="K273" s="12"/>
      <c r="L273" s="12"/>
      <c r="M273" s="12"/>
    </row>
    <row r="274">
      <c r="J274" s="12"/>
      <c r="K274" s="12"/>
      <c r="L274" s="12"/>
      <c r="M274" s="12"/>
    </row>
    <row r="275">
      <c r="J275" s="12"/>
      <c r="K275" s="12"/>
      <c r="L275" s="12"/>
      <c r="M275" s="12"/>
    </row>
    <row r="276">
      <c r="J276" s="12"/>
      <c r="K276" s="12"/>
      <c r="L276" s="12"/>
      <c r="M276" s="12"/>
    </row>
    <row r="277">
      <c r="J277" s="12"/>
      <c r="K277" s="12"/>
      <c r="L277" s="12"/>
      <c r="M277" s="12"/>
    </row>
    <row r="278">
      <c r="J278" s="12"/>
      <c r="K278" s="12"/>
      <c r="L278" s="12"/>
      <c r="M278" s="12"/>
    </row>
    <row r="279">
      <c r="J279" s="12"/>
      <c r="K279" s="12"/>
      <c r="L279" s="12"/>
      <c r="M279" s="12"/>
    </row>
    <row r="280">
      <c r="J280" s="12"/>
      <c r="K280" s="12"/>
      <c r="L280" s="12"/>
      <c r="M280" s="12"/>
    </row>
    <row r="281">
      <c r="J281" s="12"/>
      <c r="K281" s="12"/>
      <c r="L281" s="12"/>
      <c r="M281" s="12"/>
    </row>
    <row r="282">
      <c r="J282" s="12"/>
      <c r="K282" s="12"/>
      <c r="L282" s="12"/>
      <c r="M282" s="12"/>
    </row>
    <row r="283">
      <c r="J283" s="12"/>
      <c r="K283" s="12"/>
      <c r="L283" s="12"/>
      <c r="M283" s="12"/>
    </row>
    <row r="284">
      <c r="J284" s="12"/>
      <c r="K284" s="12"/>
      <c r="L284" s="12"/>
      <c r="M284" s="12"/>
    </row>
    <row r="285">
      <c r="J285" s="12"/>
      <c r="K285" s="12"/>
      <c r="L285" s="12"/>
      <c r="M285" s="12"/>
    </row>
    <row r="286">
      <c r="J286" s="12"/>
      <c r="K286" s="12"/>
      <c r="L286" s="12"/>
      <c r="M286" s="12"/>
    </row>
    <row r="287">
      <c r="J287" s="12"/>
      <c r="K287" s="12"/>
      <c r="L287" s="12"/>
      <c r="M287" s="12"/>
    </row>
    <row r="288">
      <c r="J288" s="12"/>
      <c r="K288" s="12"/>
      <c r="L288" s="12"/>
      <c r="M288" s="12"/>
    </row>
    <row r="289">
      <c r="J289" s="12"/>
      <c r="K289" s="12"/>
      <c r="L289" s="12"/>
      <c r="M289" s="12"/>
    </row>
    <row r="290">
      <c r="J290" s="12"/>
      <c r="K290" s="12"/>
      <c r="L290" s="12"/>
      <c r="M290" s="12"/>
    </row>
    <row r="291">
      <c r="J291" s="12"/>
      <c r="K291" s="12"/>
      <c r="L291" s="12"/>
      <c r="M291" s="12"/>
    </row>
    <row r="292">
      <c r="J292" s="12"/>
      <c r="K292" s="12"/>
      <c r="L292" s="12"/>
      <c r="M292" s="12"/>
    </row>
    <row r="293">
      <c r="J293" s="12"/>
      <c r="K293" s="12"/>
      <c r="L293" s="12"/>
      <c r="M293" s="12"/>
    </row>
    <row r="294">
      <c r="J294" s="12"/>
      <c r="K294" s="12"/>
      <c r="L294" s="12"/>
      <c r="M294" s="12"/>
    </row>
    <row r="295">
      <c r="J295" s="12"/>
      <c r="K295" s="12"/>
      <c r="L295" s="12"/>
      <c r="M295" s="12"/>
    </row>
    <row r="296">
      <c r="J296" s="12"/>
      <c r="K296" s="12"/>
      <c r="L296" s="12"/>
      <c r="M296" s="12"/>
    </row>
    <row r="297">
      <c r="J297" s="12"/>
      <c r="K297" s="12"/>
      <c r="L297" s="12"/>
      <c r="M297" s="12"/>
    </row>
    <row r="298">
      <c r="J298" s="12"/>
      <c r="K298" s="12"/>
      <c r="L298" s="12"/>
      <c r="M298" s="12"/>
    </row>
    <row r="299">
      <c r="J299" s="12"/>
      <c r="K299" s="12"/>
      <c r="L299" s="12"/>
      <c r="M299" s="12"/>
    </row>
    <row r="300">
      <c r="J300" s="12"/>
      <c r="K300" s="12"/>
      <c r="L300" s="12"/>
      <c r="M300" s="12"/>
    </row>
    <row r="301">
      <c r="J301" s="12"/>
      <c r="K301" s="12"/>
      <c r="L301" s="12"/>
      <c r="M301" s="12"/>
    </row>
    <row r="302">
      <c r="J302" s="12"/>
      <c r="K302" s="12"/>
      <c r="L302" s="12"/>
      <c r="M302" s="12"/>
    </row>
    <row r="303">
      <c r="J303" s="12"/>
      <c r="K303" s="12"/>
      <c r="L303" s="12"/>
      <c r="M303" s="12"/>
    </row>
    <row r="304">
      <c r="J304" s="12"/>
      <c r="K304" s="12"/>
      <c r="L304" s="12"/>
      <c r="M304" s="12"/>
    </row>
    <row r="305">
      <c r="J305" s="12"/>
      <c r="K305" s="12"/>
      <c r="L305" s="12"/>
      <c r="M305" s="12"/>
    </row>
    <row r="306">
      <c r="J306" s="12"/>
      <c r="K306" s="12"/>
      <c r="L306" s="12"/>
      <c r="M306" s="12"/>
    </row>
    <row r="307">
      <c r="J307" s="12"/>
      <c r="K307" s="12"/>
      <c r="L307" s="12"/>
      <c r="M307" s="12"/>
    </row>
    <row r="308">
      <c r="J308" s="12"/>
      <c r="K308" s="12"/>
      <c r="L308" s="12"/>
      <c r="M308" s="12"/>
    </row>
    <row r="309">
      <c r="J309" s="12"/>
      <c r="K309" s="12"/>
      <c r="L309" s="12"/>
      <c r="M309" s="12"/>
    </row>
    <row r="310">
      <c r="J310" s="12"/>
      <c r="K310" s="12"/>
      <c r="L310" s="12"/>
      <c r="M310" s="12"/>
    </row>
    <row r="311">
      <c r="J311" s="12"/>
      <c r="K311" s="12"/>
      <c r="L311" s="12"/>
      <c r="M311" s="12"/>
    </row>
    <row r="312">
      <c r="J312" s="12"/>
      <c r="K312" s="12"/>
      <c r="L312" s="12"/>
      <c r="M312" s="12"/>
    </row>
    <row r="313">
      <c r="J313" s="12"/>
      <c r="K313" s="12"/>
      <c r="L313" s="12"/>
      <c r="M313" s="12"/>
    </row>
    <row r="314">
      <c r="J314" s="12"/>
      <c r="K314" s="12"/>
      <c r="L314" s="12"/>
      <c r="M314" s="12"/>
    </row>
    <row r="315">
      <c r="J315" s="12"/>
      <c r="K315" s="12"/>
      <c r="L315" s="12"/>
      <c r="M315" s="12"/>
    </row>
    <row r="316">
      <c r="J316" s="12"/>
      <c r="K316" s="12"/>
      <c r="L316" s="12"/>
      <c r="M316" s="12"/>
    </row>
    <row r="317">
      <c r="J317" s="12"/>
      <c r="K317" s="12"/>
      <c r="L317" s="12"/>
      <c r="M317" s="12"/>
    </row>
    <row r="318">
      <c r="J318" s="12"/>
      <c r="K318" s="12"/>
      <c r="L318" s="12"/>
      <c r="M318" s="12"/>
    </row>
    <row r="319">
      <c r="J319" s="12"/>
      <c r="K319" s="12"/>
      <c r="L319" s="12"/>
      <c r="M319" s="12"/>
    </row>
    <row r="320">
      <c r="J320" s="12"/>
      <c r="K320" s="12"/>
      <c r="L320" s="12"/>
      <c r="M320" s="12"/>
    </row>
    <row r="321">
      <c r="J321" s="12"/>
      <c r="K321" s="12"/>
      <c r="L321" s="12"/>
      <c r="M321" s="12"/>
    </row>
    <row r="322">
      <c r="J322" s="12"/>
      <c r="K322" s="12"/>
      <c r="L322" s="12"/>
      <c r="M322" s="12"/>
    </row>
    <row r="323">
      <c r="J323" s="12"/>
      <c r="K323" s="12"/>
      <c r="L323" s="12"/>
      <c r="M323" s="12"/>
    </row>
    <row r="324">
      <c r="J324" s="12"/>
      <c r="K324" s="12"/>
      <c r="L324" s="12"/>
      <c r="M324" s="12"/>
    </row>
    <row r="325">
      <c r="J325" s="12"/>
      <c r="K325" s="12"/>
      <c r="L325" s="12"/>
      <c r="M325" s="12"/>
    </row>
    <row r="326">
      <c r="J326" s="12"/>
      <c r="K326" s="12"/>
      <c r="L326" s="12"/>
      <c r="M326" s="12"/>
    </row>
    <row r="327">
      <c r="J327" s="12"/>
      <c r="K327" s="12"/>
      <c r="L327" s="12"/>
      <c r="M327" s="12"/>
    </row>
    <row r="328">
      <c r="J328" s="12"/>
      <c r="K328" s="12"/>
      <c r="L328" s="12"/>
      <c r="M328" s="12"/>
    </row>
    <row r="329">
      <c r="J329" s="12"/>
      <c r="K329" s="12"/>
      <c r="L329" s="12"/>
      <c r="M329" s="12"/>
    </row>
    <row r="330">
      <c r="J330" s="12"/>
      <c r="K330" s="12"/>
      <c r="L330" s="12"/>
      <c r="M330" s="12"/>
    </row>
    <row r="331">
      <c r="J331" s="12"/>
      <c r="K331" s="12"/>
      <c r="L331" s="12"/>
      <c r="M331" s="12"/>
    </row>
    <row r="332">
      <c r="J332" s="12"/>
      <c r="K332" s="12"/>
      <c r="L332" s="12"/>
      <c r="M332" s="12"/>
    </row>
    <row r="333">
      <c r="J333" s="12"/>
      <c r="K333" s="12"/>
      <c r="L333" s="12"/>
      <c r="M333" s="12"/>
    </row>
    <row r="334">
      <c r="J334" s="12"/>
      <c r="K334" s="12"/>
      <c r="L334" s="12"/>
      <c r="M334" s="12"/>
    </row>
    <row r="335">
      <c r="J335" s="12"/>
      <c r="K335" s="12"/>
      <c r="L335" s="12"/>
      <c r="M335" s="12"/>
    </row>
    <row r="336">
      <c r="J336" s="12"/>
      <c r="K336" s="12"/>
      <c r="L336" s="12"/>
      <c r="M336" s="12"/>
    </row>
    <row r="337">
      <c r="J337" s="12"/>
      <c r="K337" s="12"/>
      <c r="L337" s="12"/>
      <c r="M337" s="12"/>
    </row>
    <row r="338">
      <c r="J338" s="12"/>
      <c r="K338" s="12"/>
      <c r="L338" s="12"/>
      <c r="M338" s="12"/>
    </row>
    <row r="339">
      <c r="J339" s="12"/>
      <c r="K339" s="12"/>
      <c r="L339" s="12"/>
      <c r="M339" s="12"/>
    </row>
    <row r="340">
      <c r="J340" s="12"/>
      <c r="K340" s="12"/>
      <c r="L340" s="12"/>
      <c r="M340" s="12"/>
    </row>
    <row r="341">
      <c r="J341" s="12"/>
      <c r="K341" s="12"/>
      <c r="L341" s="12"/>
      <c r="M341" s="12"/>
    </row>
    <row r="342">
      <c r="J342" s="12"/>
      <c r="K342" s="12"/>
      <c r="L342" s="12"/>
      <c r="M342" s="12"/>
    </row>
    <row r="343">
      <c r="J343" s="12"/>
      <c r="K343" s="12"/>
      <c r="L343" s="12"/>
      <c r="M343" s="12"/>
    </row>
    <row r="344">
      <c r="J344" s="12"/>
      <c r="K344" s="12"/>
      <c r="L344" s="12"/>
      <c r="M344" s="12"/>
    </row>
    <row r="345">
      <c r="J345" s="12"/>
      <c r="K345" s="12"/>
      <c r="L345" s="12"/>
      <c r="M345" s="12"/>
    </row>
    <row r="346">
      <c r="J346" s="12"/>
      <c r="K346" s="12"/>
      <c r="L346" s="12"/>
      <c r="M346" s="12"/>
    </row>
    <row r="347">
      <c r="J347" s="12"/>
      <c r="K347" s="12"/>
      <c r="L347" s="12"/>
      <c r="M347" s="12"/>
    </row>
    <row r="348">
      <c r="J348" s="12"/>
      <c r="K348" s="12"/>
      <c r="L348" s="12"/>
      <c r="M348" s="12"/>
    </row>
    <row r="349">
      <c r="J349" s="12"/>
      <c r="K349" s="12"/>
      <c r="L349" s="12"/>
      <c r="M349" s="12"/>
    </row>
    <row r="350">
      <c r="J350" s="12"/>
      <c r="K350" s="12"/>
      <c r="L350" s="12"/>
      <c r="M350" s="12"/>
    </row>
    <row r="351">
      <c r="J351" s="12"/>
      <c r="K351" s="12"/>
      <c r="L351" s="12"/>
      <c r="M351" s="12"/>
    </row>
    <row r="352">
      <c r="J352" s="12"/>
      <c r="K352" s="12"/>
      <c r="L352" s="12"/>
      <c r="M352" s="12"/>
    </row>
    <row r="353">
      <c r="J353" s="12"/>
      <c r="K353" s="12"/>
      <c r="L353" s="12"/>
      <c r="M353" s="12"/>
    </row>
    <row r="354">
      <c r="J354" s="12"/>
      <c r="K354" s="12"/>
      <c r="L354" s="12"/>
      <c r="M354" s="12"/>
    </row>
    <row r="355">
      <c r="J355" s="12"/>
      <c r="K355" s="12"/>
      <c r="L355" s="12"/>
      <c r="M355" s="12"/>
    </row>
    <row r="356">
      <c r="J356" s="12"/>
      <c r="K356" s="12"/>
      <c r="L356" s="12"/>
      <c r="M356" s="12"/>
    </row>
    <row r="357">
      <c r="J357" s="12"/>
      <c r="K357" s="12"/>
      <c r="L357" s="12"/>
      <c r="M357" s="12"/>
    </row>
    <row r="358">
      <c r="J358" s="12"/>
      <c r="K358" s="12"/>
      <c r="L358" s="12"/>
      <c r="M358" s="12"/>
    </row>
    <row r="359">
      <c r="J359" s="12"/>
      <c r="K359" s="12"/>
      <c r="L359" s="12"/>
      <c r="M359" s="12"/>
    </row>
    <row r="360">
      <c r="J360" s="12"/>
      <c r="K360" s="12"/>
      <c r="L360" s="12"/>
      <c r="M360" s="12"/>
    </row>
    <row r="361">
      <c r="J361" s="12"/>
      <c r="K361" s="12"/>
      <c r="L361" s="12"/>
      <c r="M361" s="12"/>
    </row>
    <row r="362">
      <c r="J362" s="12"/>
      <c r="K362" s="12"/>
      <c r="L362" s="12"/>
      <c r="M362" s="12"/>
    </row>
    <row r="363">
      <c r="J363" s="12"/>
      <c r="K363" s="12"/>
      <c r="L363" s="12"/>
      <c r="M363" s="12"/>
    </row>
    <row r="364">
      <c r="J364" s="12"/>
      <c r="K364" s="12"/>
      <c r="L364" s="12"/>
      <c r="M364" s="12"/>
    </row>
    <row r="365">
      <c r="J365" s="12"/>
      <c r="K365" s="12"/>
      <c r="L365" s="12"/>
      <c r="M365" s="12"/>
    </row>
    <row r="366">
      <c r="J366" s="12"/>
      <c r="K366" s="12"/>
      <c r="L366" s="12"/>
      <c r="M366" s="12"/>
    </row>
    <row r="367">
      <c r="J367" s="12"/>
      <c r="K367" s="12"/>
      <c r="L367" s="12"/>
      <c r="M367" s="12"/>
    </row>
    <row r="368">
      <c r="J368" s="12"/>
      <c r="K368" s="12"/>
      <c r="L368" s="12"/>
      <c r="M368" s="12"/>
    </row>
    <row r="369">
      <c r="J369" s="12"/>
      <c r="K369" s="12"/>
      <c r="L369" s="12"/>
      <c r="M369" s="12"/>
    </row>
    <row r="370">
      <c r="J370" s="12"/>
      <c r="K370" s="12"/>
      <c r="L370" s="12"/>
      <c r="M370" s="12"/>
    </row>
    <row r="371">
      <c r="J371" s="12"/>
      <c r="K371" s="12"/>
      <c r="L371" s="12"/>
      <c r="M371" s="12"/>
    </row>
    <row r="372">
      <c r="J372" s="12"/>
      <c r="K372" s="12"/>
      <c r="L372" s="12"/>
      <c r="M372" s="12"/>
    </row>
    <row r="373">
      <c r="J373" s="12"/>
      <c r="K373" s="12"/>
      <c r="L373" s="12"/>
      <c r="M373" s="12"/>
    </row>
    <row r="374">
      <c r="J374" s="12"/>
      <c r="K374" s="12"/>
      <c r="L374" s="12"/>
      <c r="M374" s="12"/>
    </row>
    <row r="375">
      <c r="J375" s="12"/>
      <c r="K375" s="12"/>
      <c r="L375" s="12"/>
      <c r="M375" s="12"/>
    </row>
    <row r="376">
      <c r="J376" s="12"/>
      <c r="K376" s="12"/>
      <c r="L376" s="12"/>
      <c r="M376" s="12"/>
    </row>
    <row r="377">
      <c r="J377" s="12"/>
      <c r="K377" s="12"/>
      <c r="L377" s="12"/>
      <c r="M377" s="12"/>
    </row>
    <row r="378">
      <c r="J378" s="12"/>
      <c r="K378" s="12"/>
      <c r="L378" s="12"/>
      <c r="M378" s="12"/>
    </row>
    <row r="379">
      <c r="J379" s="12"/>
      <c r="K379" s="12"/>
      <c r="L379" s="12"/>
      <c r="M379" s="12"/>
    </row>
    <row r="380">
      <c r="J380" s="12"/>
      <c r="K380" s="12"/>
      <c r="L380" s="12"/>
      <c r="M380" s="12"/>
    </row>
    <row r="381">
      <c r="J381" s="12"/>
      <c r="K381" s="12"/>
      <c r="L381" s="12"/>
      <c r="M381" s="12"/>
    </row>
    <row r="382">
      <c r="J382" s="12"/>
      <c r="K382" s="12"/>
      <c r="L382" s="12"/>
      <c r="M382" s="12"/>
    </row>
    <row r="383">
      <c r="J383" s="12"/>
      <c r="K383" s="12"/>
      <c r="L383" s="12"/>
      <c r="M383" s="12"/>
    </row>
    <row r="384">
      <c r="J384" s="12"/>
      <c r="K384" s="12"/>
      <c r="L384" s="12"/>
      <c r="M384" s="12"/>
    </row>
    <row r="385">
      <c r="J385" s="12"/>
      <c r="K385" s="12"/>
      <c r="L385" s="12"/>
      <c r="M385" s="12"/>
    </row>
    <row r="386">
      <c r="J386" s="12"/>
      <c r="K386" s="12"/>
      <c r="L386" s="12"/>
      <c r="M386" s="12"/>
    </row>
    <row r="387">
      <c r="J387" s="12"/>
      <c r="K387" s="12"/>
      <c r="L387" s="12"/>
      <c r="M387" s="12"/>
    </row>
    <row r="388">
      <c r="J388" s="12"/>
      <c r="K388" s="12"/>
      <c r="L388" s="12"/>
      <c r="M388" s="12"/>
    </row>
    <row r="389">
      <c r="J389" s="12"/>
      <c r="K389" s="12"/>
      <c r="L389" s="12"/>
      <c r="M389" s="12"/>
    </row>
    <row r="390">
      <c r="J390" s="12"/>
      <c r="K390" s="12"/>
      <c r="L390" s="12"/>
      <c r="M390" s="12"/>
    </row>
    <row r="391">
      <c r="J391" s="12"/>
      <c r="K391" s="12"/>
      <c r="L391" s="12"/>
      <c r="M391" s="12"/>
    </row>
    <row r="392">
      <c r="J392" s="12"/>
      <c r="K392" s="12"/>
      <c r="L392" s="12"/>
      <c r="M392" s="12"/>
    </row>
    <row r="393">
      <c r="J393" s="12"/>
      <c r="K393" s="12"/>
      <c r="L393" s="12"/>
      <c r="M393" s="12"/>
    </row>
    <row r="394">
      <c r="J394" s="12"/>
      <c r="K394" s="12"/>
      <c r="L394" s="12"/>
      <c r="M394" s="12"/>
    </row>
    <row r="395">
      <c r="J395" s="12"/>
      <c r="K395" s="12"/>
      <c r="L395" s="12"/>
      <c r="M395" s="12"/>
    </row>
    <row r="396">
      <c r="J396" s="12"/>
      <c r="K396" s="12"/>
      <c r="L396" s="12"/>
      <c r="M396" s="12"/>
    </row>
    <row r="397">
      <c r="J397" s="12"/>
      <c r="K397" s="12"/>
      <c r="L397" s="12"/>
      <c r="M397" s="12"/>
    </row>
    <row r="398">
      <c r="J398" s="12"/>
      <c r="K398" s="12"/>
      <c r="L398" s="12"/>
      <c r="M398" s="12"/>
    </row>
    <row r="399">
      <c r="J399" s="12"/>
      <c r="K399" s="12"/>
      <c r="L399" s="12"/>
      <c r="M399" s="12"/>
    </row>
    <row r="400">
      <c r="J400" s="12"/>
      <c r="K400" s="12"/>
      <c r="L400" s="12"/>
      <c r="M400" s="12"/>
    </row>
    <row r="401">
      <c r="J401" s="12"/>
      <c r="K401" s="12"/>
      <c r="L401" s="12"/>
      <c r="M401" s="12"/>
    </row>
    <row r="402">
      <c r="J402" s="12"/>
      <c r="K402" s="12"/>
      <c r="L402" s="12"/>
      <c r="M402" s="12"/>
    </row>
    <row r="403">
      <c r="J403" s="12"/>
      <c r="K403" s="12"/>
      <c r="L403" s="12"/>
      <c r="M403" s="12"/>
    </row>
    <row r="404">
      <c r="J404" s="12"/>
      <c r="K404" s="12"/>
      <c r="L404" s="12"/>
      <c r="M404" s="12"/>
    </row>
    <row r="405">
      <c r="J405" s="12"/>
      <c r="K405" s="12"/>
      <c r="L405" s="12"/>
      <c r="M405" s="12"/>
    </row>
    <row r="406">
      <c r="J406" s="12"/>
      <c r="K406" s="12"/>
      <c r="L406" s="12"/>
      <c r="M406" s="12"/>
    </row>
    <row r="407">
      <c r="J407" s="12"/>
      <c r="K407" s="12"/>
      <c r="L407" s="12"/>
      <c r="M407" s="12"/>
    </row>
    <row r="408">
      <c r="J408" s="12"/>
      <c r="K408" s="12"/>
      <c r="L408" s="12"/>
      <c r="M408" s="12"/>
    </row>
    <row r="409">
      <c r="J409" s="12"/>
      <c r="K409" s="12"/>
      <c r="L409" s="12"/>
      <c r="M409" s="12"/>
    </row>
    <row r="410">
      <c r="J410" s="12"/>
      <c r="K410" s="12"/>
      <c r="L410" s="12"/>
      <c r="M410" s="12"/>
    </row>
    <row r="411">
      <c r="J411" s="12"/>
      <c r="K411" s="12"/>
      <c r="L411" s="12"/>
      <c r="M411" s="12"/>
    </row>
    <row r="412">
      <c r="J412" s="12"/>
      <c r="K412" s="12"/>
      <c r="L412" s="12"/>
      <c r="M412" s="12"/>
    </row>
    <row r="413">
      <c r="J413" s="12"/>
      <c r="K413" s="12"/>
      <c r="L413" s="12"/>
      <c r="M413" s="12"/>
    </row>
    <row r="414">
      <c r="J414" s="12"/>
      <c r="K414" s="12"/>
      <c r="L414" s="12"/>
      <c r="M414" s="12"/>
    </row>
    <row r="415">
      <c r="J415" s="12"/>
      <c r="K415" s="12"/>
      <c r="L415" s="12"/>
      <c r="M415" s="12"/>
    </row>
    <row r="416">
      <c r="J416" s="12"/>
      <c r="K416" s="12"/>
      <c r="L416" s="12"/>
      <c r="M416" s="12"/>
    </row>
    <row r="417">
      <c r="J417" s="12"/>
      <c r="K417" s="12"/>
      <c r="L417" s="12"/>
      <c r="M417" s="12"/>
    </row>
    <row r="418">
      <c r="J418" s="12"/>
      <c r="K418" s="12"/>
      <c r="L418" s="12"/>
      <c r="M418" s="12"/>
    </row>
    <row r="419">
      <c r="J419" s="12"/>
      <c r="K419" s="12"/>
      <c r="L419" s="12"/>
      <c r="M419" s="12"/>
    </row>
    <row r="420">
      <c r="J420" s="12"/>
      <c r="K420" s="12"/>
      <c r="L420" s="12"/>
      <c r="M420" s="12"/>
    </row>
    <row r="421">
      <c r="J421" s="12"/>
      <c r="K421" s="12"/>
      <c r="L421" s="12"/>
      <c r="M421" s="12"/>
    </row>
    <row r="422">
      <c r="J422" s="12"/>
      <c r="K422" s="12"/>
      <c r="L422" s="12"/>
      <c r="M422" s="12"/>
    </row>
    <row r="423">
      <c r="J423" s="12"/>
      <c r="K423" s="12"/>
      <c r="L423" s="12"/>
      <c r="M423" s="12"/>
    </row>
    <row r="424">
      <c r="J424" s="12"/>
      <c r="K424" s="12"/>
      <c r="L424" s="12"/>
      <c r="M424" s="12"/>
    </row>
    <row r="425">
      <c r="J425" s="12"/>
      <c r="K425" s="12"/>
      <c r="L425" s="12"/>
      <c r="M425" s="12"/>
    </row>
    <row r="426">
      <c r="J426" s="12"/>
      <c r="K426" s="12"/>
      <c r="L426" s="12"/>
      <c r="M426" s="12"/>
    </row>
    <row r="427">
      <c r="J427" s="12"/>
      <c r="K427" s="12"/>
      <c r="L427" s="12"/>
      <c r="M427" s="12"/>
    </row>
    <row r="428">
      <c r="J428" s="12"/>
      <c r="K428" s="12"/>
      <c r="L428" s="12"/>
      <c r="M428" s="12"/>
    </row>
    <row r="429">
      <c r="J429" s="12"/>
      <c r="K429" s="12"/>
      <c r="L429" s="12"/>
      <c r="M429" s="12"/>
    </row>
    <row r="430">
      <c r="J430" s="12"/>
      <c r="K430" s="12"/>
      <c r="L430" s="12"/>
      <c r="M430" s="12"/>
    </row>
    <row r="431">
      <c r="J431" s="12"/>
      <c r="K431" s="12"/>
      <c r="L431" s="12"/>
      <c r="M431" s="12"/>
    </row>
    <row r="432">
      <c r="J432" s="12"/>
      <c r="K432" s="12"/>
      <c r="L432" s="12"/>
      <c r="M432" s="12"/>
    </row>
    <row r="433">
      <c r="J433" s="12"/>
      <c r="K433" s="12"/>
      <c r="L433" s="12"/>
      <c r="M433" s="12"/>
    </row>
    <row r="434">
      <c r="J434" s="12"/>
      <c r="K434" s="12"/>
      <c r="L434" s="12"/>
      <c r="M434" s="12"/>
    </row>
    <row r="435">
      <c r="J435" s="12"/>
      <c r="K435" s="12"/>
      <c r="L435" s="12"/>
      <c r="M435" s="12"/>
    </row>
    <row r="436">
      <c r="J436" s="12"/>
      <c r="K436" s="12"/>
      <c r="L436" s="12"/>
      <c r="M436" s="12"/>
    </row>
    <row r="437">
      <c r="J437" s="12"/>
      <c r="K437" s="12"/>
      <c r="L437" s="12"/>
      <c r="M437" s="12"/>
    </row>
    <row r="438">
      <c r="J438" s="12"/>
      <c r="K438" s="12"/>
      <c r="L438" s="12"/>
      <c r="M438" s="12"/>
    </row>
    <row r="439">
      <c r="J439" s="12"/>
      <c r="K439" s="12"/>
      <c r="L439" s="12"/>
      <c r="M439" s="12"/>
    </row>
    <row r="440">
      <c r="J440" s="12"/>
      <c r="K440" s="12"/>
      <c r="L440" s="12"/>
      <c r="M440" s="12"/>
    </row>
    <row r="441">
      <c r="J441" s="12"/>
      <c r="K441" s="12"/>
      <c r="L441" s="12"/>
      <c r="M441" s="12"/>
    </row>
    <row r="442">
      <c r="J442" s="12"/>
      <c r="K442" s="12"/>
      <c r="L442" s="12"/>
      <c r="M442" s="12"/>
    </row>
    <row r="443">
      <c r="J443" s="12"/>
      <c r="K443" s="12"/>
      <c r="L443" s="12"/>
      <c r="M443" s="12"/>
    </row>
    <row r="444">
      <c r="J444" s="12"/>
      <c r="K444" s="12"/>
      <c r="L444" s="12"/>
      <c r="M444" s="12"/>
    </row>
    <row r="445">
      <c r="J445" s="12"/>
      <c r="K445" s="12"/>
      <c r="L445" s="12"/>
      <c r="M445" s="12"/>
    </row>
    <row r="446">
      <c r="J446" s="12"/>
      <c r="K446" s="12"/>
      <c r="L446" s="12"/>
      <c r="M446" s="12"/>
    </row>
    <row r="447">
      <c r="J447" s="12"/>
      <c r="K447" s="12"/>
      <c r="L447" s="12"/>
      <c r="M447" s="12"/>
    </row>
    <row r="448">
      <c r="J448" s="12"/>
      <c r="K448" s="12"/>
      <c r="L448" s="12"/>
      <c r="M448" s="12"/>
    </row>
    <row r="449">
      <c r="J449" s="12"/>
      <c r="K449" s="12"/>
      <c r="L449" s="12"/>
      <c r="M449" s="12"/>
    </row>
    <row r="450">
      <c r="J450" s="12"/>
      <c r="K450" s="12"/>
      <c r="L450" s="12"/>
      <c r="M450" s="12"/>
    </row>
    <row r="451">
      <c r="J451" s="12"/>
      <c r="K451" s="12"/>
      <c r="L451" s="12"/>
      <c r="M451" s="12"/>
    </row>
    <row r="452">
      <c r="J452" s="12"/>
      <c r="K452" s="12"/>
      <c r="L452" s="12"/>
      <c r="M452" s="12"/>
    </row>
    <row r="453">
      <c r="J453" s="12"/>
      <c r="K453" s="12"/>
      <c r="L453" s="12"/>
      <c r="M453" s="12"/>
    </row>
    <row r="454">
      <c r="J454" s="12"/>
      <c r="K454" s="12"/>
      <c r="L454" s="12"/>
      <c r="M454" s="12"/>
    </row>
    <row r="455">
      <c r="J455" s="12"/>
      <c r="K455" s="12"/>
      <c r="L455" s="12"/>
      <c r="M455" s="12"/>
    </row>
    <row r="456">
      <c r="J456" s="12"/>
      <c r="K456" s="12"/>
      <c r="L456" s="12"/>
      <c r="M456" s="12"/>
    </row>
    <row r="457">
      <c r="J457" s="12"/>
      <c r="K457" s="12"/>
      <c r="L457" s="12"/>
      <c r="M457" s="12"/>
    </row>
    <row r="458">
      <c r="J458" s="12"/>
      <c r="K458" s="12"/>
      <c r="L458" s="12"/>
      <c r="M458" s="12"/>
    </row>
    <row r="459">
      <c r="J459" s="12"/>
      <c r="K459" s="12"/>
      <c r="L459" s="12"/>
      <c r="M459" s="12"/>
    </row>
    <row r="460">
      <c r="J460" s="12"/>
      <c r="K460" s="12"/>
      <c r="L460" s="12"/>
      <c r="M460" s="12"/>
    </row>
    <row r="461">
      <c r="J461" s="12"/>
      <c r="K461" s="12"/>
      <c r="L461" s="12"/>
      <c r="M461" s="12"/>
    </row>
    <row r="462">
      <c r="J462" s="12"/>
      <c r="K462" s="12"/>
      <c r="L462" s="12"/>
      <c r="M462" s="12"/>
    </row>
    <row r="463">
      <c r="J463" s="12"/>
      <c r="K463" s="12"/>
      <c r="L463" s="12"/>
      <c r="M463" s="12"/>
    </row>
    <row r="464">
      <c r="J464" s="12"/>
      <c r="K464" s="12"/>
      <c r="L464" s="12"/>
      <c r="M464" s="12"/>
    </row>
    <row r="465">
      <c r="J465" s="12"/>
      <c r="K465" s="12"/>
      <c r="L465" s="12"/>
      <c r="M465" s="12"/>
    </row>
    <row r="466">
      <c r="J466" s="12"/>
      <c r="K466" s="12"/>
      <c r="L466" s="12"/>
      <c r="M466" s="12"/>
    </row>
    <row r="467">
      <c r="J467" s="12"/>
      <c r="K467" s="12"/>
      <c r="L467" s="12"/>
      <c r="M467" s="12"/>
    </row>
    <row r="468">
      <c r="J468" s="12"/>
      <c r="K468" s="12"/>
      <c r="L468" s="12"/>
      <c r="M468" s="12"/>
    </row>
    <row r="469">
      <c r="J469" s="12"/>
      <c r="K469" s="12"/>
      <c r="L469" s="12"/>
      <c r="M469" s="12"/>
    </row>
    <row r="470">
      <c r="J470" s="12"/>
      <c r="K470" s="12"/>
      <c r="L470" s="12"/>
      <c r="M470" s="12"/>
    </row>
    <row r="471">
      <c r="J471" s="12"/>
      <c r="K471" s="12"/>
      <c r="L471" s="12"/>
      <c r="M471" s="12"/>
    </row>
    <row r="472">
      <c r="J472" s="12"/>
      <c r="K472" s="12"/>
      <c r="L472" s="12"/>
      <c r="M472" s="12"/>
    </row>
    <row r="473">
      <c r="J473" s="12"/>
      <c r="K473" s="12"/>
      <c r="L473" s="12"/>
      <c r="M473" s="12"/>
    </row>
    <row r="474">
      <c r="J474" s="12"/>
      <c r="K474" s="12"/>
      <c r="L474" s="12"/>
      <c r="M474" s="12"/>
    </row>
    <row r="475">
      <c r="J475" s="12"/>
      <c r="K475" s="12"/>
      <c r="L475" s="12"/>
      <c r="M475" s="12"/>
    </row>
    <row r="476">
      <c r="J476" s="12"/>
      <c r="K476" s="12"/>
      <c r="L476" s="12"/>
      <c r="M476" s="12"/>
    </row>
    <row r="477">
      <c r="J477" s="12"/>
      <c r="K477" s="12"/>
      <c r="L477" s="12"/>
      <c r="M477" s="12"/>
    </row>
    <row r="478">
      <c r="J478" s="12"/>
      <c r="K478" s="12"/>
      <c r="L478" s="12"/>
      <c r="M478" s="12"/>
    </row>
    <row r="479">
      <c r="J479" s="12"/>
      <c r="K479" s="12"/>
      <c r="L479" s="12"/>
      <c r="M479" s="12"/>
    </row>
    <row r="480">
      <c r="J480" s="12"/>
      <c r="K480" s="12"/>
      <c r="L480" s="12"/>
      <c r="M480" s="12"/>
    </row>
    <row r="481">
      <c r="J481" s="12"/>
      <c r="K481" s="12"/>
      <c r="L481" s="12"/>
      <c r="M481" s="12"/>
    </row>
    <row r="482">
      <c r="J482" s="12"/>
      <c r="K482" s="12"/>
      <c r="L482" s="12"/>
      <c r="M482" s="12"/>
    </row>
    <row r="483">
      <c r="J483" s="12"/>
      <c r="K483" s="12"/>
      <c r="L483" s="12"/>
      <c r="M483" s="12"/>
    </row>
    <row r="484">
      <c r="J484" s="12"/>
      <c r="K484" s="12"/>
      <c r="L484" s="12"/>
      <c r="M484" s="12"/>
    </row>
    <row r="485">
      <c r="J485" s="12"/>
      <c r="K485" s="12"/>
      <c r="L485" s="12"/>
      <c r="M485" s="12"/>
    </row>
    <row r="486">
      <c r="J486" s="12"/>
      <c r="K486" s="12"/>
      <c r="L486" s="12"/>
      <c r="M486" s="12"/>
    </row>
    <row r="487">
      <c r="J487" s="12"/>
      <c r="K487" s="12"/>
      <c r="L487" s="12"/>
      <c r="M487" s="12"/>
    </row>
    <row r="488">
      <c r="J488" s="12"/>
      <c r="K488" s="12"/>
      <c r="L488" s="12"/>
      <c r="M488" s="12"/>
    </row>
    <row r="489">
      <c r="J489" s="12"/>
      <c r="K489" s="12"/>
      <c r="L489" s="12"/>
      <c r="M489" s="12"/>
    </row>
    <row r="490">
      <c r="J490" s="12"/>
      <c r="K490" s="12"/>
      <c r="L490" s="12"/>
      <c r="M490" s="12"/>
    </row>
    <row r="491">
      <c r="J491" s="12"/>
      <c r="K491" s="12"/>
      <c r="L491" s="12"/>
      <c r="M491" s="12"/>
    </row>
    <row r="492">
      <c r="J492" s="12"/>
      <c r="K492" s="12"/>
      <c r="L492" s="12"/>
      <c r="M492" s="12"/>
    </row>
    <row r="493">
      <c r="J493" s="12"/>
      <c r="K493" s="12"/>
      <c r="L493" s="12"/>
      <c r="M493" s="12"/>
    </row>
    <row r="494">
      <c r="J494" s="12"/>
      <c r="K494" s="12"/>
      <c r="L494" s="12"/>
      <c r="M494" s="12"/>
    </row>
    <row r="495">
      <c r="J495" s="12"/>
      <c r="K495" s="12"/>
      <c r="L495" s="12"/>
      <c r="M495" s="12"/>
    </row>
    <row r="496">
      <c r="J496" s="12"/>
      <c r="K496" s="12"/>
      <c r="L496" s="12"/>
      <c r="M496" s="12"/>
    </row>
    <row r="497">
      <c r="J497" s="12"/>
      <c r="K497" s="12"/>
      <c r="L497" s="12"/>
      <c r="M497" s="12"/>
    </row>
    <row r="498">
      <c r="J498" s="12"/>
      <c r="K498" s="12"/>
      <c r="L498" s="12"/>
      <c r="M498" s="12"/>
    </row>
    <row r="499">
      <c r="J499" s="12"/>
      <c r="K499" s="12"/>
      <c r="L499" s="12"/>
      <c r="M499" s="12"/>
    </row>
    <row r="500">
      <c r="J500" s="12"/>
      <c r="K500" s="12"/>
      <c r="L500" s="12"/>
      <c r="M500" s="12"/>
    </row>
    <row r="501">
      <c r="J501" s="12"/>
      <c r="K501" s="12"/>
      <c r="L501" s="12"/>
      <c r="M501" s="12"/>
    </row>
    <row r="502">
      <c r="J502" s="12"/>
      <c r="K502" s="12"/>
      <c r="L502" s="12"/>
      <c r="M502" s="12"/>
    </row>
    <row r="503">
      <c r="J503" s="12"/>
      <c r="K503" s="12"/>
      <c r="L503" s="12"/>
      <c r="M503" s="12"/>
    </row>
    <row r="504">
      <c r="J504" s="12"/>
      <c r="K504" s="12"/>
      <c r="L504" s="12"/>
      <c r="M504" s="12"/>
    </row>
    <row r="505">
      <c r="J505" s="12"/>
      <c r="K505" s="12"/>
      <c r="L505" s="12"/>
      <c r="M505" s="12"/>
    </row>
    <row r="506">
      <c r="J506" s="12"/>
      <c r="K506" s="12"/>
      <c r="L506" s="12"/>
      <c r="M506" s="12"/>
    </row>
    <row r="507">
      <c r="J507" s="12"/>
      <c r="K507" s="12"/>
      <c r="L507" s="12"/>
      <c r="M507" s="12"/>
    </row>
    <row r="508">
      <c r="J508" s="12"/>
      <c r="K508" s="12"/>
      <c r="L508" s="12"/>
      <c r="M508" s="12"/>
    </row>
    <row r="509">
      <c r="J509" s="12"/>
      <c r="K509" s="12"/>
      <c r="L509" s="12"/>
      <c r="M509" s="12"/>
    </row>
    <row r="510">
      <c r="J510" s="12"/>
      <c r="K510" s="12"/>
      <c r="L510" s="12"/>
      <c r="M510" s="12"/>
    </row>
    <row r="511">
      <c r="J511" s="12"/>
      <c r="K511" s="12"/>
      <c r="L511" s="12"/>
      <c r="M511" s="12"/>
    </row>
    <row r="512">
      <c r="J512" s="12"/>
      <c r="K512" s="12"/>
      <c r="L512" s="12"/>
      <c r="M512" s="12"/>
    </row>
    <row r="513">
      <c r="J513" s="12"/>
      <c r="K513" s="12"/>
      <c r="L513" s="12"/>
      <c r="M513" s="12"/>
    </row>
    <row r="514">
      <c r="J514" s="12"/>
      <c r="K514" s="12"/>
      <c r="L514" s="12"/>
      <c r="M514" s="12"/>
    </row>
    <row r="515">
      <c r="J515" s="12"/>
      <c r="K515" s="12"/>
      <c r="L515" s="12"/>
      <c r="M515" s="12"/>
    </row>
    <row r="516">
      <c r="J516" s="12"/>
      <c r="K516" s="12"/>
      <c r="L516" s="12"/>
      <c r="M516" s="12"/>
    </row>
    <row r="517">
      <c r="J517" s="12"/>
      <c r="K517" s="12"/>
      <c r="L517" s="12"/>
      <c r="M517" s="12"/>
    </row>
    <row r="518">
      <c r="J518" s="12"/>
      <c r="K518" s="12"/>
      <c r="L518" s="12"/>
      <c r="M518" s="12"/>
    </row>
    <row r="519">
      <c r="J519" s="12"/>
      <c r="K519" s="12"/>
      <c r="L519" s="12"/>
      <c r="M519" s="12"/>
    </row>
    <row r="520">
      <c r="J520" s="12"/>
      <c r="K520" s="12"/>
      <c r="L520" s="12"/>
      <c r="M520" s="12"/>
    </row>
    <row r="521">
      <c r="J521" s="12"/>
      <c r="K521" s="12"/>
      <c r="L521" s="12"/>
      <c r="M521" s="12"/>
    </row>
    <row r="522">
      <c r="J522" s="12"/>
      <c r="K522" s="12"/>
      <c r="L522" s="12"/>
      <c r="M522" s="12"/>
    </row>
    <row r="523">
      <c r="J523" s="12"/>
      <c r="K523" s="12"/>
      <c r="L523" s="12"/>
      <c r="M523" s="12"/>
    </row>
    <row r="524">
      <c r="J524" s="12"/>
      <c r="K524" s="12"/>
      <c r="L524" s="12"/>
      <c r="M524" s="12"/>
    </row>
    <row r="525">
      <c r="J525" s="12"/>
      <c r="K525" s="12"/>
      <c r="L525" s="12"/>
      <c r="M525" s="12"/>
    </row>
    <row r="526">
      <c r="J526" s="12"/>
      <c r="K526" s="12"/>
      <c r="L526" s="12"/>
      <c r="M526" s="12"/>
    </row>
    <row r="527">
      <c r="J527" s="12"/>
      <c r="K527" s="12"/>
      <c r="L527" s="12"/>
      <c r="M527" s="12"/>
    </row>
    <row r="528">
      <c r="J528" s="12"/>
      <c r="K528" s="12"/>
      <c r="L528" s="12"/>
      <c r="M528" s="12"/>
    </row>
    <row r="529">
      <c r="J529" s="12"/>
      <c r="K529" s="12"/>
      <c r="L529" s="12"/>
      <c r="M529" s="12"/>
    </row>
    <row r="530">
      <c r="J530" s="12"/>
      <c r="K530" s="12"/>
      <c r="L530" s="12"/>
      <c r="M530" s="12"/>
    </row>
    <row r="531">
      <c r="J531" s="12"/>
      <c r="K531" s="12"/>
      <c r="L531" s="12"/>
      <c r="M531" s="12"/>
    </row>
    <row r="532">
      <c r="J532" s="12"/>
      <c r="K532" s="12"/>
      <c r="L532" s="12"/>
      <c r="M532" s="12"/>
    </row>
    <row r="533">
      <c r="J533" s="12"/>
      <c r="K533" s="12"/>
      <c r="L533" s="12"/>
      <c r="M533" s="12"/>
    </row>
    <row r="534">
      <c r="J534" s="12"/>
      <c r="K534" s="12"/>
      <c r="L534" s="12"/>
      <c r="M534" s="12"/>
    </row>
    <row r="535">
      <c r="J535" s="12"/>
      <c r="K535" s="12"/>
      <c r="L535" s="12"/>
      <c r="M535" s="12"/>
    </row>
    <row r="536">
      <c r="J536" s="12"/>
      <c r="K536" s="12"/>
      <c r="L536" s="12"/>
      <c r="M536" s="12"/>
    </row>
    <row r="537">
      <c r="J537" s="12"/>
      <c r="K537" s="12"/>
      <c r="L537" s="12"/>
      <c r="M537" s="12"/>
    </row>
    <row r="538">
      <c r="J538" s="12"/>
      <c r="K538" s="12"/>
      <c r="L538" s="12"/>
      <c r="M538" s="12"/>
    </row>
    <row r="539">
      <c r="J539" s="12"/>
      <c r="K539" s="12"/>
      <c r="L539" s="12"/>
      <c r="M539" s="12"/>
    </row>
    <row r="540">
      <c r="J540" s="12"/>
      <c r="K540" s="12"/>
      <c r="L540" s="12"/>
      <c r="M540" s="12"/>
    </row>
    <row r="541">
      <c r="J541" s="12"/>
      <c r="K541" s="12"/>
      <c r="L541" s="12"/>
      <c r="M541" s="12"/>
    </row>
    <row r="542">
      <c r="J542" s="12"/>
      <c r="K542" s="12"/>
      <c r="L542" s="12"/>
      <c r="M542" s="12"/>
    </row>
    <row r="543">
      <c r="J543" s="12"/>
      <c r="K543" s="12"/>
      <c r="L543" s="12"/>
      <c r="M543" s="12"/>
    </row>
    <row r="544">
      <c r="J544" s="12"/>
      <c r="K544" s="12"/>
      <c r="L544" s="12"/>
      <c r="M544" s="12"/>
    </row>
    <row r="545">
      <c r="J545" s="12"/>
      <c r="K545" s="12"/>
      <c r="L545" s="12"/>
      <c r="M545" s="12"/>
    </row>
    <row r="546">
      <c r="J546" s="12"/>
      <c r="K546" s="12"/>
      <c r="L546" s="12"/>
      <c r="M546" s="12"/>
    </row>
    <row r="547">
      <c r="J547" s="12"/>
      <c r="K547" s="12"/>
      <c r="L547" s="12"/>
      <c r="M547" s="12"/>
    </row>
    <row r="548">
      <c r="J548" s="12"/>
      <c r="K548" s="12"/>
      <c r="L548" s="12"/>
      <c r="M548" s="12"/>
    </row>
    <row r="549">
      <c r="J549" s="12"/>
      <c r="K549" s="12"/>
      <c r="L549" s="12"/>
      <c r="M549" s="12"/>
    </row>
    <row r="550">
      <c r="J550" s="12"/>
      <c r="K550" s="12"/>
      <c r="L550" s="12"/>
      <c r="M550" s="12"/>
    </row>
    <row r="551">
      <c r="J551" s="12"/>
      <c r="K551" s="12"/>
      <c r="L551" s="12"/>
      <c r="M551" s="12"/>
    </row>
    <row r="552">
      <c r="J552" s="12"/>
      <c r="K552" s="12"/>
      <c r="L552" s="12"/>
      <c r="M552" s="12"/>
    </row>
    <row r="553">
      <c r="J553" s="12"/>
      <c r="K553" s="12"/>
      <c r="L553" s="12"/>
      <c r="M553" s="12"/>
    </row>
    <row r="554">
      <c r="J554" s="12"/>
      <c r="K554" s="12"/>
      <c r="L554" s="12"/>
      <c r="M554" s="12"/>
    </row>
    <row r="555">
      <c r="J555" s="12"/>
      <c r="K555" s="12"/>
      <c r="L555" s="12"/>
      <c r="M555" s="12"/>
    </row>
    <row r="556">
      <c r="J556" s="12"/>
      <c r="K556" s="12"/>
      <c r="L556" s="12"/>
      <c r="M556" s="12"/>
    </row>
    <row r="557">
      <c r="J557" s="12"/>
      <c r="K557" s="12"/>
      <c r="L557" s="12"/>
      <c r="M557" s="12"/>
    </row>
    <row r="558">
      <c r="J558" s="12"/>
      <c r="K558" s="12"/>
      <c r="L558" s="12"/>
      <c r="M558" s="12"/>
    </row>
    <row r="559">
      <c r="J559" s="12"/>
      <c r="K559" s="12"/>
      <c r="L559" s="12"/>
      <c r="M559" s="12"/>
    </row>
    <row r="560">
      <c r="J560" s="12"/>
      <c r="K560" s="12"/>
      <c r="L560" s="12"/>
      <c r="M560" s="12"/>
    </row>
    <row r="561">
      <c r="J561" s="12"/>
      <c r="K561" s="12"/>
      <c r="L561" s="12"/>
      <c r="M561" s="12"/>
    </row>
    <row r="562">
      <c r="J562" s="12"/>
      <c r="K562" s="12"/>
      <c r="L562" s="12"/>
      <c r="M562" s="12"/>
    </row>
    <row r="563">
      <c r="J563" s="12"/>
      <c r="K563" s="12"/>
      <c r="L563" s="12"/>
      <c r="M563" s="12"/>
    </row>
    <row r="564">
      <c r="J564" s="12"/>
      <c r="K564" s="12"/>
      <c r="L564" s="12"/>
      <c r="M564" s="12"/>
    </row>
    <row r="565">
      <c r="J565" s="12"/>
      <c r="K565" s="12"/>
      <c r="L565" s="12"/>
      <c r="M565" s="12"/>
    </row>
    <row r="566">
      <c r="J566" s="12"/>
      <c r="K566" s="12"/>
      <c r="L566" s="12"/>
      <c r="M566" s="12"/>
    </row>
    <row r="567">
      <c r="J567" s="12"/>
      <c r="K567" s="12"/>
      <c r="L567" s="12"/>
      <c r="M567" s="12"/>
    </row>
    <row r="568">
      <c r="J568" s="12"/>
      <c r="K568" s="12"/>
      <c r="L568" s="12"/>
      <c r="M568" s="12"/>
    </row>
    <row r="569">
      <c r="J569" s="12"/>
      <c r="K569" s="12"/>
      <c r="L569" s="12"/>
      <c r="M569" s="12"/>
    </row>
    <row r="570">
      <c r="J570" s="12"/>
      <c r="K570" s="12"/>
      <c r="L570" s="12"/>
      <c r="M570" s="12"/>
    </row>
    <row r="571">
      <c r="J571" s="12"/>
      <c r="K571" s="12"/>
      <c r="L571" s="12"/>
      <c r="M571" s="12"/>
    </row>
    <row r="572">
      <c r="J572" s="12"/>
      <c r="K572" s="12"/>
      <c r="L572" s="12"/>
      <c r="M572" s="12"/>
    </row>
    <row r="573">
      <c r="J573" s="12"/>
      <c r="K573" s="12"/>
      <c r="L573" s="12"/>
      <c r="M573" s="12"/>
    </row>
    <row r="574">
      <c r="J574" s="12"/>
      <c r="K574" s="12"/>
      <c r="L574" s="12"/>
      <c r="M574" s="12"/>
    </row>
    <row r="575">
      <c r="J575" s="12"/>
      <c r="K575" s="12"/>
      <c r="L575" s="12"/>
      <c r="M575" s="12"/>
    </row>
    <row r="576">
      <c r="J576" s="12"/>
      <c r="K576" s="12"/>
      <c r="L576" s="12"/>
      <c r="M576" s="12"/>
    </row>
    <row r="577">
      <c r="J577" s="12"/>
      <c r="K577" s="12"/>
      <c r="L577" s="12"/>
      <c r="M577" s="12"/>
    </row>
    <row r="578">
      <c r="J578" s="12"/>
      <c r="K578" s="12"/>
      <c r="L578" s="12"/>
      <c r="M578" s="12"/>
    </row>
    <row r="579">
      <c r="J579" s="12"/>
      <c r="K579" s="12"/>
      <c r="L579" s="12"/>
      <c r="M579" s="12"/>
    </row>
    <row r="580">
      <c r="J580" s="12"/>
      <c r="K580" s="12"/>
      <c r="L580" s="12"/>
      <c r="M580" s="12"/>
    </row>
    <row r="581">
      <c r="J581" s="12"/>
      <c r="K581" s="12"/>
      <c r="L581" s="12"/>
      <c r="M581" s="12"/>
    </row>
    <row r="582">
      <c r="J582" s="12"/>
      <c r="K582" s="12"/>
      <c r="L582" s="12"/>
      <c r="M582" s="12"/>
    </row>
    <row r="583">
      <c r="J583" s="12"/>
      <c r="K583" s="12"/>
      <c r="L583" s="12"/>
      <c r="M583" s="12"/>
    </row>
    <row r="584">
      <c r="J584" s="12"/>
      <c r="K584" s="12"/>
      <c r="L584" s="12"/>
      <c r="M584" s="12"/>
    </row>
    <row r="585">
      <c r="J585" s="12"/>
      <c r="K585" s="12"/>
      <c r="L585" s="12"/>
      <c r="M585" s="12"/>
    </row>
    <row r="586">
      <c r="J586" s="12"/>
      <c r="K586" s="12"/>
      <c r="L586" s="12"/>
      <c r="M586" s="12"/>
    </row>
    <row r="587">
      <c r="J587" s="12"/>
      <c r="K587" s="12"/>
      <c r="L587" s="12"/>
      <c r="M587" s="12"/>
    </row>
    <row r="588">
      <c r="J588" s="12"/>
      <c r="K588" s="12"/>
      <c r="L588" s="12"/>
      <c r="M588" s="12"/>
    </row>
    <row r="589">
      <c r="J589" s="12"/>
      <c r="K589" s="12"/>
      <c r="L589" s="12"/>
      <c r="M589" s="12"/>
    </row>
    <row r="590">
      <c r="J590" s="12"/>
      <c r="K590" s="12"/>
      <c r="L590" s="12"/>
      <c r="M590" s="12"/>
    </row>
    <row r="591">
      <c r="J591" s="12"/>
      <c r="K591" s="12"/>
      <c r="L591" s="12"/>
      <c r="M591" s="12"/>
    </row>
    <row r="592">
      <c r="J592" s="12"/>
      <c r="K592" s="12"/>
      <c r="L592" s="12"/>
      <c r="M592" s="12"/>
    </row>
    <row r="593">
      <c r="J593" s="12"/>
      <c r="K593" s="12"/>
      <c r="L593" s="12"/>
      <c r="M593" s="12"/>
    </row>
    <row r="594">
      <c r="J594" s="12"/>
      <c r="K594" s="12"/>
      <c r="L594" s="12"/>
      <c r="M594" s="12"/>
    </row>
    <row r="595">
      <c r="J595" s="12"/>
      <c r="K595" s="12"/>
      <c r="L595" s="12"/>
      <c r="M595" s="12"/>
    </row>
    <row r="596">
      <c r="J596" s="12"/>
      <c r="K596" s="12"/>
      <c r="L596" s="12"/>
      <c r="M596" s="12"/>
    </row>
    <row r="597">
      <c r="J597" s="12"/>
      <c r="K597" s="12"/>
      <c r="L597" s="12"/>
      <c r="M597" s="12"/>
    </row>
    <row r="598">
      <c r="J598" s="12"/>
      <c r="K598" s="12"/>
      <c r="L598" s="12"/>
      <c r="M598" s="12"/>
    </row>
    <row r="599">
      <c r="J599" s="12"/>
      <c r="K599" s="12"/>
      <c r="L599" s="12"/>
      <c r="M599" s="12"/>
    </row>
    <row r="600">
      <c r="J600" s="12"/>
      <c r="K600" s="12"/>
      <c r="L600" s="12"/>
      <c r="M600" s="12"/>
    </row>
    <row r="601">
      <c r="J601" s="12"/>
      <c r="K601" s="12"/>
      <c r="L601" s="12"/>
      <c r="M601" s="12"/>
    </row>
    <row r="602">
      <c r="J602" s="12"/>
      <c r="K602" s="12"/>
      <c r="L602" s="12"/>
      <c r="M602" s="12"/>
    </row>
    <row r="603">
      <c r="J603" s="12"/>
      <c r="K603" s="12"/>
      <c r="L603" s="12"/>
      <c r="M603" s="12"/>
    </row>
    <row r="604">
      <c r="J604" s="12"/>
      <c r="K604" s="12"/>
      <c r="L604" s="12"/>
      <c r="M604" s="12"/>
    </row>
    <row r="605">
      <c r="J605" s="12"/>
      <c r="K605" s="12"/>
      <c r="L605" s="12"/>
      <c r="M605" s="12"/>
    </row>
    <row r="606">
      <c r="J606" s="12"/>
      <c r="K606" s="12"/>
      <c r="L606" s="12"/>
      <c r="M606" s="12"/>
    </row>
    <row r="607">
      <c r="J607" s="12"/>
      <c r="K607" s="12"/>
      <c r="L607" s="12"/>
      <c r="M607" s="12"/>
    </row>
    <row r="608">
      <c r="J608" s="12"/>
      <c r="K608" s="12"/>
      <c r="L608" s="12"/>
      <c r="M608" s="12"/>
    </row>
    <row r="609">
      <c r="J609" s="12"/>
      <c r="K609" s="12"/>
      <c r="L609" s="12"/>
      <c r="M609" s="12"/>
    </row>
    <row r="610">
      <c r="J610" s="12"/>
      <c r="K610" s="12"/>
      <c r="L610" s="12"/>
      <c r="M610" s="12"/>
    </row>
    <row r="611">
      <c r="J611" s="12"/>
      <c r="K611" s="12"/>
      <c r="L611" s="12"/>
      <c r="M611" s="12"/>
    </row>
    <row r="612">
      <c r="J612" s="12"/>
      <c r="K612" s="12"/>
      <c r="L612" s="12"/>
      <c r="M612" s="12"/>
    </row>
    <row r="613">
      <c r="J613" s="12"/>
      <c r="K613" s="12"/>
      <c r="L613" s="12"/>
      <c r="M613" s="12"/>
    </row>
    <row r="614">
      <c r="J614" s="12"/>
      <c r="K614" s="12"/>
      <c r="L614" s="12"/>
      <c r="M614" s="12"/>
    </row>
    <row r="615">
      <c r="J615" s="12"/>
      <c r="K615" s="12"/>
      <c r="L615" s="12"/>
      <c r="M615" s="12"/>
    </row>
    <row r="616">
      <c r="J616" s="12"/>
      <c r="K616" s="12"/>
      <c r="L616" s="12"/>
      <c r="M616" s="12"/>
    </row>
    <row r="617">
      <c r="J617" s="12"/>
      <c r="K617" s="12"/>
      <c r="L617" s="12"/>
      <c r="M617" s="12"/>
    </row>
    <row r="618">
      <c r="J618" s="12"/>
      <c r="K618" s="12"/>
      <c r="L618" s="12"/>
      <c r="M618" s="12"/>
    </row>
    <row r="619">
      <c r="J619" s="12"/>
      <c r="K619" s="12"/>
      <c r="L619" s="12"/>
      <c r="M619" s="12"/>
    </row>
    <row r="620">
      <c r="J620" s="12"/>
      <c r="K620" s="12"/>
      <c r="L620" s="12"/>
      <c r="M620" s="12"/>
    </row>
    <row r="621">
      <c r="J621" s="12"/>
      <c r="K621" s="12"/>
      <c r="L621" s="12"/>
      <c r="M621" s="12"/>
    </row>
    <row r="622">
      <c r="J622" s="12"/>
      <c r="K622" s="12"/>
      <c r="L622" s="12"/>
      <c r="M622" s="12"/>
    </row>
    <row r="623">
      <c r="J623" s="12"/>
      <c r="K623" s="12"/>
      <c r="L623" s="12"/>
      <c r="M623" s="12"/>
    </row>
    <row r="624">
      <c r="J624" s="12"/>
      <c r="K624" s="12"/>
      <c r="L624" s="12"/>
      <c r="M624" s="12"/>
    </row>
    <row r="625">
      <c r="J625" s="12"/>
      <c r="K625" s="12"/>
      <c r="L625" s="12"/>
      <c r="M625" s="12"/>
    </row>
    <row r="626">
      <c r="J626" s="12"/>
      <c r="K626" s="12"/>
      <c r="L626" s="12"/>
      <c r="M626" s="12"/>
    </row>
    <row r="627">
      <c r="J627" s="12"/>
      <c r="K627" s="12"/>
      <c r="L627" s="12"/>
      <c r="M627" s="12"/>
    </row>
    <row r="628">
      <c r="J628" s="12"/>
      <c r="K628" s="12"/>
      <c r="L628" s="12"/>
      <c r="M628" s="12"/>
    </row>
    <row r="629">
      <c r="J629" s="12"/>
      <c r="K629" s="12"/>
      <c r="L629" s="12"/>
      <c r="M629" s="12"/>
    </row>
    <row r="630">
      <c r="J630" s="12"/>
      <c r="K630" s="12"/>
      <c r="L630" s="12"/>
      <c r="M630" s="12"/>
    </row>
    <row r="631">
      <c r="J631" s="12"/>
      <c r="K631" s="12"/>
      <c r="L631" s="12"/>
      <c r="M631" s="12"/>
    </row>
    <row r="632">
      <c r="J632" s="12"/>
      <c r="K632" s="12"/>
      <c r="L632" s="12"/>
      <c r="M632" s="12"/>
    </row>
    <row r="633">
      <c r="J633" s="12"/>
      <c r="K633" s="12"/>
      <c r="L633" s="12"/>
      <c r="M633" s="12"/>
    </row>
    <row r="634">
      <c r="J634" s="12"/>
      <c r="K634" s="12"/>
      <c r="L634" s="12"/>
      <c r="M634" s="12"/>
    </row>
    <row r="635">
      <c r="J635" s="12"/>
      <c r="K635" s="12"/>
      <c r="L635" s="12"/>
      <c r="M635" s="12"/>
    </row>
    <row r="636">
      <c r="J636" s="12"/>
      <c r="K636" s="12"/>
      <c r="L636" s="12"/>
      <c r="M636" s="12"/>
    </row>
    <row r="637">
      <c r="J637" s="12"/>
      <c r="K637" s="12"/>
      <c r="L637" s="12"/>
      <c r="M637" s="12"/>
    </row>
    <row r="638">
      <c r="J638" s="12"/>
      <c r="K638" s="12"/>
      <c r="L638" s="12"/>
      <c r="M638" s="12"/>
    </row>
    <row r="639">
      <c r="J639" s="12"/>
      <c r="K639" s="12"/>
      <c r="L639" s="12"/>
      <c r="M639" s="12"/>
    </row>
    <row r="640">
      <c r="J640" s="12"/>
      <c r="K640" s="12"/>
      <c r="L640" s="12"/>
      <c r="M640" s="12"/>
    </row>
    <row r="641">
      <c r="J641" s="12"/>
      <c r="K641" s="12"/>
      <c r="L641" s="12"/>
      <c r="M641" s="12"/>
    </row>
    <row r="642">
      <c r="J642" s="12"/>
      <c r="K642" s="12"/>
      <c r="L642" s="12"/>
      <c r="M642" s="12"/>
    </row>
    <row r="643">
      <c r="J643" s="12"/>
      <c r="K643" s="12"/>
      <c r="L643" s="12"/>
      <c r="M643" s="12"/>
    </row>
    <row r="644">
      <c r="J644" s="12"/>
      <c r="K644" s="12"/>
      <c r="L644" s="12"/>
      <c r="M644" s="12"/>
    </row>
    <row r="645">
      <c r="J645" s="12"/>
      <c r="K645" s="12"/>
      <c r="L645" s="12"/>
      <c r="M645" s="12"/>
    </row>
    <row r="646">
      <c r="J646" s="12"/>
      <c r="K646" s="12"/>
      <c r="L646" s="12"/>
      <c r="M646" s="12"/>
    </row>
    <row r="647">
      <c r="J647" s="12"/>
      <c r="K647" s="12"/>
      <c r="L647" s="12"/>
      <c r="M647" s="12"/>
    </row>
    <row r="648">
      <c r="J648" s="12"/>
      <c r="K648" s="12"/>
      <c r="L648" s="12"/>
      <c r="M648" s="12"/>
    </row>
    <row r="649">
      <c r="J649" s="12"/>
      <c r="K649" s="12"/>
      <c r="L649" s="12"/>
      <c r="M649" s="12"/>
    </row>
    <row r="650">
      <c r="J650" s="12"/>
      <c r="K650" s="12"/>
      <c r="L650" s="12"/>
      <c r="M650" s="12"/>
    </row>
    <row r="651">
      <c r="J651" s="12"/>
      <c r="K651" s="12"/>
      <c r="L651" s="12"/>
      <c r="M651" s="12"/>
    </row>
    <row r="652">
      <c r="J652" s="12"/>
      <c r="K652" s="12"/>
      <c r="L652" s="12"/>
      <c r="M652" s="12"/>
    </row>
    <row r="653">
      <c r="J653" s="12"/>
      <c r="K653" s="12"/>
      <c r="L653" s="12"/>
      <c r="M653" s="12"/>
    </row>
    <row r="654">
      <c r="J654" s="12"/>
      <c r="K654" s="12"/>
      <c r="L654" s="12"/>
      <c r="M654" s="12"/>
    </row>
    <row r="655">
      <c r="J655" s="12"/>
      <c r="K655" s="12"/>
      <c r="L655" s="12"/>
      <c r="M655" s="12"/>
    </row>
    <row r="656">
      <c r="J656" s="12"/>
      <c r="K656" s="12"/>
      <c r="L656" s="12"/>
      <c r="M656" s="12"/>
    </row>
    <row r="657">
      <c r="J657" s="12"/>
      <c r="K657" s="12"/>
      <c r="L657" s="12"/>
      <c r="M657" s="12"/>
    </row>
    <row r="658">
      <c r="J658" s="12"/>
      <c r="K658" s="12"/>
      <c r="L658" s="12"/>
      <c r="M658" s="12"/>
    </row>
    <row r="659">
      <c r="J659" s="12"/>
      <c r="K659" s="12"/>
      <c r="L659" s="12"/>
      <c r="M659" s="12"/>
    </row>
    <row r="660">
      <c r="J660" s="12"/>
      <c r="K660" s="12"/>
      <c r="L660" s="12"/>
      <c r="M660" s="12"/>
    </row>
    <row r="661">
      <c r="J661" s="12"/>
      <c r="K661" s="12"/>
      <c r="L661" s="12"/>
      <c r="M661" s="12"/>
    </row>
    <row r="662">
      <c r="J662" s="12"/>
      <c r="K662" s="12"/>
      <c r="L662" s="12"/>
      <c r="M662" s="12"/>
    </row>
    <row r="663">
      <c r="J663" s="12"/>
      <c r="K663" s="12"/>
      <c r="L663" s="12"/>
      <c r="M663" s="12"/>
    </row>
    <row r="664">
      <c r="J664" s="12"/>
      <c r="K664" s="12"/>
      <c r="L664" s="12"/>
      <c r="M664" s="12"/>
    </row>
    <row r="665">
      <c r="J665" s="12"/>
      <c r="K665" s="12"/>
      <c r="L665" s="12"/>
      <c r="M665" s="12"/>
    </row>
    <row r="666">
      <c r="J666" s="12"/>
      <c r="K666" s="12"/>
      <c r="L666" s="12"/>
      <c r="M666" s="12"/>
    </row>
    <row r="667">
      <c r="J667" s="12"/>
      <c r="K667" s="12"/>
      <c r="L667" s="12"/>
      <c r="M667" s="12"/>
    </row>
    <row r="668">
      <c r="J668" s="12"/>
      <c r="K668" s="12"/>
      <c r="L668" s="12"/>
      <c r="M668" s="12"/>
    </row>
    <row r="669">
      <c r="J669" s="12"/>
      <c r="K669" s="12"/>
      <c r="L669" s="12"/>
      <c r="M669" s="12"/>
    </row>
    <row r="670">
      <c r="J670" s="12"/>
      <c r="K670" s="12"/>
      <c r="L670" s="12"/>
      <c r="M670" s="12"/>
    </row>
    <row r="671">
      <c r="J671" s="12"/>
      <c r="K671" s="12"/>
      <c r="L671" s="12"/>
      <c r="M671" s="12"/>
    </row>
    <row r="672">
      <c r="J672" s="12"/>
      <c r="K672" s="12"/>
      <c r="L672" s="12"/>
      <c r="M672" s="12"/>
    </row>
    <row r="673">
      <c r="J673" s="12"/>
      <c r="K673" s="12"/>
      <c r="L673" s="12"/>
      <c r="M673" s="12"/>
    </row>
    <row r="674">
      <c r="J674" s="12"/>
      <c r="K674" s="12"/>
      <c r="L674" s="12"/>
      <c r="M674" s="12"/>
    </row>
    <row r="675">
      <c r="J675" s="12"/>
      <c r="K675" s="12"/>
      <c r="L675" s="12"/>
      <c r="M675" s="12"/>
    </row>
    <row r="676">
      <c r="J676" s="12"/>
      <c r="K676" s="12"/>
      <c r="L676" s="12"/>
      <c r="M676" s="12"/>
    </row>
    <row r="677">
      <c r="J677" s="12"/>
      <c r="K677" s="12"/>
      <c r="L677" s="12"/>
      <c r="M677" s="12"/>
    </row>
    <row r="678">
      <c r="J678" s="12"/>
      <c r="K678" s="12"/>
      <c r="L678" s="12"/>
      <c r="M678" s="12"/>
    </row>
    <row r="679">
      <c r="J679" s="12"/>
      <c r="K679" s="12"/>
      <c r="L679" s="12"/>
      <c r="M679" s="12"/>
    </row>
    <row r="680">
      <c r="J680" s="12"/>
      <c r="K680" s="12"/>
      <c r="L680" s="12"/>
      <c r="M680" s="12"/>
    </row>
    <row r="681">
      <c r="J681" s="12"/>
      <c r="K681" s="12"/>
      <c r="L681" s="12"/>
      <c r="M681" s="12"/>
    </row>
    <row r="682">
      <c r="J682" s="12"/>
      <c r="K682" s="12"/>
      <c r="L682" s="12"/>
      <c r="M682" s="12"/>
    </row>
    <row r="683">
      <c r="J683" s="12"/>
      <c r="K683" s="12"/>
      <c r="L683" s="12"/>
      <c r="M683" s="12"/>
    </row>
    <row r="684">
      <c r="J684" s="12"/>
      <c r="K684" s="12"/>
      <c r="L684" s="12"/>
      <c r="M684" s="12"/>
    </row>
    <row r="685">
      <c r="J685" s="12"/>
      <c r="K685" s="12"/>
      <c r="L685" s="12"/>
      <c r="M685" s="12"/>
    </row>
    <row r="686">
      <c r="J686" s="12"/>
      <c r="K686" s="12"/>
      <c r="L686" s="12"/>
      <c r="M686" s="12"/>
    </row>
    <row r="687">
      <c r="J687" s="12"/>
      <c r="K687" s="12"/>
      <c r="L687" s="12"/>
      <c r="M687" s="12"/>
    </row>
    <row r="688">
      <c r="J688" s="12"/>
      <c r="K688" s="12"/>
      <c r="L688" s="12"/>
      <c r="M688" s="12"/>
    </row>
    <row r="689">
      <c r="J689" s="12"/>
      <c r="K689" s="12"/>
      <c r="L689" s="12"/>
      <c r="M689" s="12"/>
    </row>
    <row r="690">
      <c r="J690" s="12"/>
      <c r="K690" s="12"/>
      <c r="L690" s="12"/>
      <c r="M690" s="12"/>
    </row>
    <row r="691">
      <c r="J691" s="12"/>
      <c r="K691" s="12"/>
      <c r="L691" s="12"/>
      <c r="M691" s="12"/>
    </row>
    <row r="692">
      <c r="J692" s="12"/>
      <c r="K692" s="12"/>
      <c r="L692" s="12"/>
      <c r="M692" s="12"/>
    </row>
    <row r="693">
      <c r="J693" s="12"/>
      <c r="K693" s="12"/>
      <c r="L693" s="12"/>
      <c r="M693" s="12"/>
    </row>
    <row r="694">
      <c r="J694" s="12"/>
      <c r="K694" s="12"/>
      <c r="L694" s="12"/>
      <c r="M694" s="12"/>
    </row>
    <row r="695">
      <c r="J695" s="12"/>
      <c r="K695" s="12"/>
      <c r="L695" s="12"/>
      <c r="M695" s="12"/>
    </row>
    <row r="696">
      <c r="J696" s="12"/>
      <c r="K696" s="12"/>
      <c r="L696" s="12"/>
      <c r="M696" s="12"/>
    </row>
    <row r="697">
      <c r="J697" s="12"/>
      <c r="K697" s="12"/>
      <c r="L697" s="12"/>
      <c r="M697" s="12"/>
    </row>
    <row r="698">
      <c r="J698" s="12"/>
      <c r="K698" s="12"/>
      <c r="L698" s="12"/>
      <c r="M698" s="12"/>
    </row>
    <row r="699">
      <c r="J699" s="12"/>
      <c r="K699" s="12"/>
      <c r="L699" s="12"/>
      <c r="M699" s="12"/>
    </row>
    <row r="700">
      <c r="J700" s="12"/>
      <c r="K700" s="12"/>
      <c r="L700" s="12"/>
      <c r="M700" s="12"/>
    </row>
    <row r="701">
      <c r="J701" s="12"/>
      <c r="K701" s="12"/>
      <c r="L701" s="12"/>
      <c r="M701" s="12"/>
    </row>
    <row r="702">
      <c r="J702" s="12"/>
      <c r="K702" s="12"/>
      <c r="L702" s="12"/>
      <c r="M702" s="12"/>
    </row>
    <row r="703">
      <c r="J703" s="12"/>
      <c r="K703" s="12"/>
      <c r="L703" s="12"/>
      <c r="M703" s="12"/>
    </row>
    <row r="704">
      <c r="J704" s="12"/>
      <c r="K704" s="12"/>
      <c r="L704" s="12"/>
      <c r="M704" s="12"/>
    </row>
    <row r="705">
      <c r="J705" s="12"/>
      <c r="K705" s="12"/>
      <c r="L705" s="12"/>
      <c r="M705" s="12"/>
    </row>
    <row r="706">
      <c r="J706" s="12"/>
      <c r="K706" s="12"/>
      <c r="L706" s="12"/>
      <c r="M706" s="12"/>
    </row>
    <row r="707">
      <c r="J707" s="12"/>
      <c r="K707" s="12"/>
      <c r="L707" s="12"/>
      <c r="M707" s="12"/>
    </row>
    <row r="708">
      <c r="J708" s="12"/>
      <c r="K708" s="12"/>
      <c r="L708" s="12"/>
      <c r="M708" s="12"/>
    </row>
    <row r="709">
      <c r="J709" s="12"/>
      <c r="K709" s="12"/>
      <c r="L709" s="12"/>
      <c r="M709" s="12"/>
    </row>
    <row r="710">
      <c r="J710" s="12"/>
      <c r="K710" s="12"/>
      <c r="L710" s="12"/>
      <c r="M710" s="12"/>
    </row>
    <row r="711">
      <c r="J711" s="12"/>
      <c r="K711" s="12"/>
      <c r="L711" s="12"/>
      <c r="M711" s="12"/>
    </row>
    <row r="712">
      <c r="J712" s="12"/>
      <c r="K712" s="12"/>
      <c r="L712" s="12"/>
      <c r="M712" s="12"/>
    </row>
    <row r="713">
      <c r="J713" s="12"/>
      <c r="K713" s="12"/>
      <c r="L713" s="12"/>
      <c r="M713" s="12"/>
    </row>
    <row r="714">
      <c r="J714" s="12"/>
      <c r="K714" s="12"/>
      <c r="L714" s="12"/>
      <c r="M714" s="12"/>
    </row>
    <row r="715">
      <c r="J715" s="12"/>
      <c r="K715" s="12"/>
      <c r="L715" s="12"/>
      <c r="M715" s="12"/>
    </row>
    <row r="716">
      <c r="J716" s="12"/>
      <c r="K716" s="12"/>
      <c r="L716" s="12"/>
      <c r="M716" s="12"/>
    </row>
    <row r="717">
      <c r="J717" s="12"/>
      <c r="K717" s="12"/>
      <c r="L717" s="12"/>
      <c r="M717" s="12"/>
    </row>
    <row r="718">
      <c r="J718" s="12"/>
      <c r="K718" s="12"/>
      <c r="L718" s="12"/>
      <c r="M718" s="12"/>
    </row>
    <row r="719">
      <c r="J719" s="12"/>
      <c r="K719" s="12"/>
      <c r="L719" s="12"/>
      <c r="M719" s="12"/>
    </row>
    <row r="720">
      <c r="J720" s="12"/>
      <c r="K720" s="12"/>
      <c r="L720" s="12"/>
      <c r="M720" s="12"/>
    </row>
    <row r="721">
      <c r="J721" s="12"/>
      <c r="K721" s="12"/>
      <c r="L721" s="12"/>
      <c r="M721" s="12"/>
    </row>
    <row r="722">
      <c r="J722" s="12"/>
      <c r="K722" s="12"/>
      <c r="L722" s="12"/>
      <c r="M722" s="12"/>
    </row>
    <row r="723">
      <c r="J723" s="12"/>
      <c r="K723" s="12"/>
      <c r="L723" s="12"/>
      <c r="M723" s="12"/>
    </row>
    <row r="724">
      <c r="J724" s="12"/>
      <c r="K724" s="12"/>
      <c r="L724" s="12"/>
      <c r="M724" s="12"/>
    </row>
    <row r="725">
      <c r="J725" s="12"/>
      <c r="K725" s="12"/>
      <c r="L725" s="12"/>
      <c r="M725" s="12"/>
    </row>
    <row r="726">
      <c r="J726" s="12"/>
      <c r="K726" s="12"/>
      <c r="L726" s="12"/>
      <c r="M726" s="12"/>
    </row>
    <row r="727">
      <c r="J727" s="12"/>
      <c r="K727" s="12"/>
      <c r="L727" s="12"/>
      <c r="M727" s="12"/>
    </row>
    <row r="728">
      <c r="J728" s="12"/>
      <c r="K728" s="12"/>
      <c r="L728" s="12"/>
      <c r="M728" s="12"/>
    </row>
    <row r="729">
      <c r="J729" s="12"/>
      <c r="K729" s="12"/>
      <c r="L729" s="12"/>
      <c r="M729" s="12"/>
    </row>
    <row r="730">
      <c r="J730" s="12"/>
      <c r="K730" s="12"/>
      <c r="L730" s="12"/>
      <c r="M730" s="12"/>
    </row>
    <row r="731">
      <c r="J731" s="12"/>
      <c r="K731" s="12"/>
      <c r="L731" s="12"/>
      <c r="M731" s="12"/>
    </row>
    <row r="732">
      <c r="J732" s="12"/>
      <c r="K732" s="12"/>
      <c r="L732" s="12"/>
      <c r="M732" s="12"/>
    </row>
    <row r="733">
      <c r="J733" s="12"/>
      <c r="K733" s="12"/>
      <c r="L733" s="12"/>
      <c r="M733" s="12"/>
    </row>
    <row r="734">
      <c r="J734" s="12"/>
      <c r="K734" s="12"/>
      <c r="L734" s="12"/>
      <c r="M734" s="12"/>
    </row>
    <row r="735">
      <c r="J735" s="12"/>
      <c r="K735" s="12"/>
      <c r="L735" s="12"/>
      <c r="M735" s="12"/>
    </row>
    <row r="736">
      <c r="J736" s="12"/>
      <c r="K736" s="12"/>
      <c r="L736" s="12"/>
      <c r="M736" s="12"/>
    </row>
    <row r="737">
      <c r="J737" s="12"/>
      <c r="K737" s="12"/>
      <c r="L737" s="12"/>
      <c r="M737" s="12"/>
    </row>
    <row r="738">
      <c r="J738" s="12"/>
      <c r="K738" s="12"/>
      <c r="L738" s="12"/>
      <c r="M738" s="12"/>
    </row>
    <row r="739">
      <c r="J739" s="12"/>
      <c r="K739" s="12"/>
      <c r="L739" s="12"/>
      <c r="M739" s="12"/>
    </row>
    <row r="740">
      <c r="J740" s="12"/>
      <c r="K740" s="12"/>
      <c r="L740" s="12"/>
      <c r="M740" s="12"/>
    </row>
    <row r="741">
      <c r="J741" s="12"/>
      <c r="K741" s="12"/>
      <c r="L741" s="12"/>
      <c r="M741" s="12"/>
    </row>
    <row r="742">
      <c r="J742" s="12"/>
      <c r="K742" s="12"/>
      <c r="L742" s="12"/>
      <c r="M742" s="12"/>
    </row>
    <row r="743">
      <c r="J743" s="12"/>
      <c r="K743" s="12"/>
      <c r="L743" s="12"/>
      <c r="M743" s="12"/>
    </row>
    <row r="744">
      <c r="J744" s="12"/>
      <c r="K744" s="12"/>
      <c r="L744" s="12"/>
      <c r="M744" s="12"/>
    </row>
    <row r="745">
      <c r="J745" s="12"/>
      <c r="K745" s="12"/>
      <c r="L745" s="12"/>
      <c r="M745" s="12"/>
    </row>
    <row r="746">
      <c r="J746" s="12"/>
      <c r="K746" s="12"/>
      <c r="L746" s="12"/>
      <c r="M746" s="12"/>
    </row>
    <row r="747">
      <c r="J747" s="12"/>
      <c r="K747" s="12"/>
      <c r="L747" s="12"/>
      <c r="M747" s="12"/>
    </row>
    <row r="748">
      <c r="J748" s="12"/>
      <c r="K748" s="12"/>
      <c r="L748" s="12"/>
      <c r="M748" s="12"/>
    </row>
    <row r="749">
      <c r="J749" s="12"/>
      <c r="K749" s="12"/>
      <c r="L749" s="12"/>
      <c r="M749" s="12"/>
    </row>
    <row r="750">
      <c r="J750" s="12"/>
      <c r="K750" s="12"/>
      <c r="L750" s="12"/>
      <c r="M750" s="12"/>
    </row>
    <row r="751">
      <c r="J751" s="12"/>
      <c r="K751" s="12"/>
      <c r="L751" s="12"/>
      <c r="M751" s="12"/>
    </row>
    <row r="752">
      <c r="J752" s="12"/>
      <c r="K752" s="12"/>
      <c r="L752" s="12"/>
      <c r="M752" s="12"/>
    </row>
    <row r="753">
      <c r="J753" s="12"/>
      <c r="K753" s="12"/>
      <c r="L753" s="12"/>
      <c r="M753" s="12"/>
    </row>
    <row r="754">
      <c r="J754" s="12"/>
      <c r="K754" s="12"/>
      <c r="L754" s="12"/>
      <c r="M754" s="12"/>
    </row>
    <row r="755">
      <c r="J755" s="12"/>
      <c r="K755" s="12"/>
      <c r="L755" s="12"/>
      <c r="M755" s="12"/>
    </row>
    <row r="756">
      <c r="J756" s="12"/>
      <c r="K756" s="12"/>
      <c r="L756" s="12"/>
      <c r="M756" s="12"/>
    </row>
    <row r="757">
      <c r="J757" s="12"/>
      <c r="K757" s="12"/>
      <c r="L757" s="12"/>
      <c r="M757" s="12"/>
    </row>
    <row r="758">
      <c r="J758" s="12"/>
      <c r="K758" s="12"/>
      <c r="L758" s="12"/>
      <c r="M758" s="12"/>
    </row>
    <row r="759">
      <c r="J759" s="12"/>
      <c r="K759" s="12"/>
      <c r="L759" s="12"/>
      <c r="M759" s="12"/>
    </row>
    <row r="760">
      <c r="J760" s="12"/>
      <c r="K760" s="12"/>
      <c r="L760" s="12"/>
      <c r="M760" s="12"/>
    </row>
    <row r="761">
      <c r="J761" s="12"/>
      <c r="K761" s="12"/>
      <c r="L761" s="12"/>
      <c r="M761" s="12"/>
    </row>
    <row r="762">
      <c r="J762" s="12"/>
      <c r="K762" s="12"/>
      <c r="L762" s="12"/>
      <c r="M762" s="12"/>
    </row>
    <row r="763">
      <c r="J763" s="12"/>
      <c r="K763" s="12"/>
      <c r="L763" s="12"/>
      <c r="M763" s="12"/>
    </row>
    <row r="764">
      <c r="J764" s="12"/>
      <c r="K764" s="12"/>
      <c r="L764" s="12"/>
      <c r="M764" s="12"/>
    </row>
    <row r="765">
      <c r="J765" s="12"/>
      <c r="K765" s="12"/>
      <c r="L765" s="12"/>
      <c r="M765" s="12"/>
    </row>
    <row r="766">
      <c r="J766" s="12"/>
      <c r="K766" s="12"/>
      <c r="L766" s="12"/>
      <c r="M766" s="12"/>
    </row>
    <row r="767">
      <c r="J767" s="12"/>
      <c r="K767" s="12"/>
      <c r="L767" s="12"/>
      <c r="M767" s="12"/>
    </row>
    <row r="768">
      <c r="J768" s="12"/>
      <c r="K768" s="12"/>
      <c r="L768" s="12"/>
      <c r="M768" s="12"/>
    </row>
    <row r="769">
      <c r="J769" s="12"/>
      <c r="K769" s="12"/>
      <c r="L769" s="12"/>
      <c r="M769" s="12"/>
    </row>
    <row r="770">
      <c r="J770" s="12"/>
      <c r="K770" s="12"/>
      <c r="L770" s="12"/>
      <c r="M770" s="12"/>
    </row>
    <row r="771">
      <c r="J771" s="12"/>
      <c r="K771" s="12"/>
      <c r="L771" s="12"/>
      <c r="M771" s="12"/>
    </row>
    <row r="772">
      <c r="J772" s="12"/>
      <c r="K772" s="12"/>
      <c r="L772" s="12"/>
      <c r="M772" s="12"/>
    </row>
    <row r="773">
      <c r="J773" s="12"/>
      <c r="K773" s="12"/>
      <c r="L773" s="12"/>
      <c r="M773" s="12"/>
    </row>
    <row r="774">
      <c r="J774" s="12"/>
      <c r="K774" s="12"/>
      <c r="L774" s="12"/>
      <c r="M774" s="12"/>
    </row>
    <row r="775">
      <c r="J775" s="12"/>
      <c r="K775" s="12"/>
      <c r="L775" s="12"/>
      <c r="M775" s="12"/>
    </row>
    <row r="776">
      <c r="J776" s="12"/>
      <c r="K776" s="12"/>
      <c r="L776" s="12"/>
      <c r="M776" s="12"/>
    </row>
    <row r="777">
      <c r="J777" s="12"/>
      <c r="K777" s="12"/>
      <c r="L777" s="12"/>
      <c r="M777" s="12"/>
    </row>
    <row r="778">
      <c r="J778" s="12"/>
      <c r="K778" s="12"/>
      <c r="L778" s="12"/>
      <c r="M778" s="12"/>
    </row>
    <row r="779">
      <c r="J779" s="12"/>
      <c r="K779" s="12"/>
      <c r="L779" s="12"/>
      <c r="M779" s="12"/>
    </row>
    <row r="780">
      <c r="J780" s="12"/>
      <c r="K780" s="12"/>
      <c r="L780" s="12"/>
      <c r="M780" s="12"/>
    </row>
    <row r="781">
      <c r="J781" s="12"/>
      <c r="K781" s="12"/>
      <c r="L781" s="12"/>
      <c r="M781" s="12"/>
    </row>
    <row r="782">
      <c r="J782" s="12"/>
      <c r="K782" s="12"/>
      <c r="L782" s="12"/>
      <c r="M782" s="12"/>
    </row>
    <row r="783">
      <c r="J783" s="12"/>
      <c r="K783" s="12"/>
      <c r="L783" s="12"/>
      <c r="M783" s="12"/>
    </row>
    <row r="784">
      <c r="J784" s="12"/>
      <c r="K784" s="12"/>
      <c r="L784" s="12"/>
      <c r="M784" s="12"/>
    </row>
    <row r="785">
      <c r="J785" s="12"/>
      <c r="K785" s="12"/>
      <c r="L785" s="12"/>
      <c r="M785" s="12"/>
    </row>
    <row r="786">
      <c r="J786" s="12"/>
      <c r="K786" s="12"/>
      <c r="L786" s="12"/>
      <c r="M786" s="12"/>
    </row>
    <row r="787">
      <c r="J787" s="12"/>
      <c r="K787" s="12"/>
      <c r="L787" s="12"/>
      <c r="M787" s="12"/>
    </row>
    <row r="788">
      <c r="J788" s="12"/>
      <c r="K788" s="12"/>
      <c r="L788" s="12"/>
      <c r="M788" s="12"/>
    </row>
    <row r="789">
      <c r="J789" s="12"/>
      <c r="K789" s="12"/>
      <c r="L789" s="12"/>
      <c r="M789" s="12"/>
    </row>
    <row r="790">
      <c r="J790" s="12"/>
      <c r="K790" s="12"/>
      <c r="L790" s="12"/>
      <c r="M790" s="12"/>
    </row>
    <row r="791">
      <c r="J791" s="12"/>
      <c r="K791" s="12"/>
      <c r="L791" s="12"/>
      <c r="M791" s="12"/>
    </row>
    <row r="792">
      <c r="J792" s="12"/>
      <c r="K792" s="12"/>
      <c r="L792" s="12"/>
      <c r="M792" s="12"/>
    </row>
    <row r="793">
      <c r="J793" s="12"/>
      <c r="K793" s="12"/>
      <c r="L793" s="12"/>
      <c r="M793" s="12"/>
    </row>
    <row r="794">
      <c r="J794" s="12"/>
      <c r="K794" s="12"/>
      <c r="L794" s="12"/>
      <c r="M794" s="12"/>
    </row>
    <row r="795">
      <c r="J795" s="12"/>
      <c r="K795" s="12"/>
      <c r="L795" s="12"/>
      <c r="M795" s="12"/>
    </row>
    <row r="796">
      <c r="J796" s="12"/>
      <c r="K796" s="12"/>
      <c r="L796" s="12"/>
      <c r="M796" s="12"/>
    </row>
    <row r="797">
      <c r="J797" s="12"/>
      <c r="K797" s="12"/>
      <c r="L797" s="12"/>
      <c r="M797" s="12"/>
    </row>
    <row r="798">
      <c r="J798" s="12"/>
      <c r="K798" s="12"/>
      <c r="L798" s="12"/>
      <c r="M798" s="12"/>
    </row>
    <row r="799">
      <c r="J799" s="12"/>
      <c r="K799" s="12"/>
      <c r="L799" s="12"/>
      <c r="M799" s="12"/>
    </row>
    <row r="800">
      <c r="J800" s="12"/>
      <c r="K800" s="12"/>
      <c r="L800" s="12"/>
      <c r="M800" s="12"/>
    </row>
    <row r="801">
      <c r="J801" s="12"/>
      <c r="K801" s="12"/>
      <c r="L801" s="12"/>
      <c r="M801" s="12"/>
    </row>
    <row r="802">
      <c r="J802" s="12"/>
      <c r="K802" s="12"/>
      <c r="L802" s="12"/>
      <c r="M802" s="12"/>
    </row>
    <row r="803">
      <c r="J803" s="12"/>
      <c r="K803" s="12"/>
      <c r="L803" s="12"/>
      <c r="M803" s="12"/>
    </row>
    <row r="804">
      <c r="J804" s="12"/>
      <c r="K804" s="12"/>
      <c r="L804" s="12"/>
      <c r="M804" s="12"/>
    </row>
    <row r="805">
      <c r="J805" s="12"/>
      <c r="K805" s="12"/>
      <c r="L805" s="12"/>
      <c r="M805" s="12"/>
    </row>
    <row r="806">
      <c r="J806" s="12"/>
      <c r="K806" s="12"/>
      <c r="L806" s="12"/>
      <c r="M806" s="12"/>
    </row>
    <row r="807">
      <c r="J807" s="12"/>
      <c r="K807" s="12"/>
      <c r="L807" s="12"/>
      <c r="M807" s="12"/>
    </row>
    <row r="808">
      <c r="J808" s="12"/>
      <c r="K808" s="12"/>
      <c r="L808" s="12"/>
      <c r="M808" s="12"/>
    </row>
    <row r="809">
      <c r="J809" s="12"/>
      <c r="K809" s="12"/>
      <c r="L809" s="12"/>
      <c r="M809" s="12"/>
    </row>
    <row r="810">
      <c r="J810" s="12"/>
      <c r="K810" s="12"/>
      <c r="L810" s="12"/>
      <c r="M810" s="12"/>
    </row>
    <row r="811">
      <c r="J811" s="12"/>
      <c r="K811" s="12"/>
      <c r="L811" s="12"/>
      <c r="M811" s="12"/>
    </row>
    <row r="812">
      <c r="J812" s="12"/>
      <c r="K812" s="12"/>
      <c r="L812" s="12"/>
      <c r="M812" s="12"/>
    </row>
    <row r="813">
      <c r="J813" s="12"/>
      <c r="K813" s="12"/>
      <c r="L813" s="12"/>
      <c r="M813" s="12"/>
    </row>
    <row r="814">
      <c r="J814" s="12"/>
      <c r="K814" s="12"/>
      <c r="L814" s="12"/>
      <c r="M814" s="12"/>
    </row>
    <row r="815">
      <c r="J815" s="12"/>
      <c r="K815" s="12"/>
      <c r="L815" s="12"/>
      <c r="M815" s="12"/>
    </row>
    <row r="816">
      <c r="J816" s="12"/>
      <c r="K816" s="12"/>
      <c r="L816" s="12"/>
      <c r="M816" s="12"/>
    </row>
    <row r="817">
      <c r="J817" s="12"/>
      <c r="K817" s="12"/>
      <c r="L817" s="12"/>
      <c r="M817" s="12"/>
    </row>
    <row r="818">
      <c r="J818" s="12"/>
      <c r="K818" s="12"/>
      <c r="L818" s="12"/>
      <c r="M818" s="12"/>
    </row>
    <row r="819">
      <c r="J819" s="12"/>
      <c r="K819" s="12"/>
      <c r="L819" s="12"/>
      <c r="M819" s="12"/>
    </row>
    <row r="820">
      <c r="J820" s="12"/>
      <c r="K820" s="12"/>
      <c r="L820" s="12"/>
      <c r="M820" s="12"/>
    </row>
    <row r="821">
      <c r="J821" s="12"/>
      <c r="K821" s="12"/>
      <c r="L821" s="12"/>
      <c r="M821" s="12"/>
    </row>
    <row r="822">
      <c r="J822" s="12"/>
      <c r="K822" s="12"/>
      <c r="L822" s="12"/>
      <c r="M822" s="12"/>
    </row>
    <row r="823">
      <c r="J823" s="12"/>
      <c r="K823" s="12"/>
      <c r="L823" s="12"/>
      <c r="M823" s="12"/>
    </row>
    <row r="824">
      <c r="J824" s="12"/>
      <c r="K824" s="12"/>
      <c r="L824" s="12"/>
      <c r="M824" s="12"/>
    </row>
    <row r="825">
      <c r="J825" s="12"/>
      <c r="K825" s="12"/>
      <c r="L825" s="12"/>
      <c r="M825" s="12"/>
    </row>
    <row r="826">
      <c r="J826" s="12"/>
      <c r="K826" s="12"/>
      <c r="L826" s="12"/>
      <c r="M826" s="12"/>
    </row>
    <row r="827">
      <c r="J827" s="12"/>
      <c r="K827" s="12"/>
      <c r="L827" s="12"/>
      <c r="M827" s="12"/>
    </row>
    <row r="828">
      <c r="J828" s="12"/>
      <c r="K828" s="12"/>
      <c r="L828" s="12"/>
      <c r="M828" s="12"/>
    </row>
    <row r="829">
      <c r="J829" s="12"/>
      <c r="K829" s="12"/>
      <c r="L829" s="12"/>
      <c r="M829" s="12"/>
    </row>
    <row r="830">
      <c r="J830" s="12"/>
      <c r="K830" s="12"/>
      <c r="L830" s="12"/>
      <c r="M830" s="12"/>
    </row>
    <row r="831">
      <c r="J831" s="12"/>
      <c r="K831" s="12"/>
      <c r="L831" s="12"/>
      <c r="M831" s="12"/>
    </row>
    <row r="832">
      <c r="J832" s="12"/>
      <c r="K832" s="12"/>
      <c r="L832" s="12"/>
      <c r="M832" s="12"/>
    </row>
    <row r="833">
      <c r="J833" s="12"/>
      <c r="K833" s="12"/>
      <c r="L833" s="12"/>
      <c r="M833" s="12"/>
    </row>
    <row r="834">
      <c r="J834" s="12"/>
      <c r="K834" s="12"/>
      <c r="L834" s="12"/>
      <c r="M834" s="12"/>
    </row>
    <row r="835">
      <c r="J835" s="12"/>
      <c r="K835" s="12"/>
      <c r="L835" s="12"/>
      <c r="M835" s="12"/>
    </row>
    <row r="836">
      <c r="J836" s="12"/>
      <c r="K836" s="12"/>
      <c r="L836" s="12"/>
      <c r="M836" s="12"/>
    </row>
    <row r="837">
      <c r="J837" s="12"/>
      <c r="K837" s="12"/>
      <c r="L837" s="12"/>
      <c r="M837" s="12"/>
    </row>
    <row r="838">
      <c r="J838" s="12"/>
      <c r="K838" s="12"/>
      <c r="L838" s="12"/>
      <c r="M838" s="12"/>
    </row>
    <row r="839">
      <c r="J839" s="12"/>
      <c r="K839" s="12"/>
      <c r="L839" s="12"/>
      <c r="M839" s="12"/>
    </row>
    <row r="840">
      <c r="J840" s="12"/>
      <c r="K840" s="12"/>
      <c r="L840" s="12"/>
      <c r="M840" s="12"/>
    </row>
    <row r="841">
      <c r="J841" s="12"/>
      <c r="K841" s="12"/>
      <c r="L841" s="12"/>
      <c r="M841" s="12"/>
    </row>
    <row r="842">
      <c r="J842" s="12"/>
      <c r="K842" s="12"/>
      <c r="L842" s="12"/>
      <c r="M842" s="12"/>
    </row>
    <row r="843">
      <c r="J843" s="12"/>
      <c r="K843" s="12"/>
      <c r="L843" s="12"/>
      <c r="M843" s="12"/>
    </row>
    <row r="844">
      <c r="J844" s="12"/>
      <c r="K844" s="12"/>
      <c r="L844" s="12"/>
      <c r="M844" s="12"/>
    </row>
    <row r="845">
      <c r="J845" s="12"/>
      <c r="K845" s="12"/>
      <c r="L845" s="12"/>
      <c r="M845" s="12"/>
    </row>
    <row r="846">
      <c r="J846" s="12"/>
      <c r="K846" s="12"/>
      <c r="L846" s="12"/>
      <c r="M846" s="12"/>
    </row>
    <row r="847">
      <c r="J847" s="12"/>
      <c r="K847" s="12"/>
      <c r="L847" s="12"/>
      <c r="M847" s="12"/>
    </row>
    <row r="848">
      <c r="J848" s="12"/>
      <c r="K848" s="12"/>
      <c r="L848" s="12"/>
      <c r="M848" s="12"/>
    </row>
    <row r="849">
      <c r="J849" s="12"/>
      <c r="K849" s="12"/>
      <c r="L849" s="12"/>
      <c r="M849" s="12"/>
    </row>
    <row r="850">
      <c r="J850" s="12"/>
      <c r="K850" s="12"/>
      <c r="L850" s="12"/>
      <c r="M850" s="12"/>
    </row>
    <row r="851">
      <c r="J851" s="12"/>
      <c r="K851" s="12"/>
      <c r="L851" s="12"/>
      <c r="M851" s="12"/>
    </row>
    <row r="852">
      <c r="J852" s="12"/>
      <c r="K852" s="12"/>
      <c r="L852" s="12"/>
      <c r="M852" s="12"/>
    </row>
    <row r="853">
      <c r="J853" s="12"/>
      <c r="K853" s="12"/>
      <c r="L853" s="12"/>
      <c r="M853" s="12"/>
    </row>
    <row r="854">
      <c r="J854" s="12"/>
      <c r="K854" s="12"/>
      <c r="L854" s="12"/>
      <c r="M854" s="12"/>
    </row>
    <row r="855">
      <c r="J855" s="12"/>
      <c r="K855" s="12"/>
      <c r="L855" s="12"/>
      <c r="M855" s="12"/>
    </row>
    <row r="856">
      <c r="J856" s="12"/>
      <c r="K856" s="12"/>
      <c r="L856" s="12"/>
      <c r="M856" s="12"/>
    </row>
    <row r="857">
      <c r="J857" s="12"/>
      <c r="K857" s="12"/>
      <c r="L857" s="12"/>
      <c r="M857" s="12"/>
    </row>
    <row r="858">
      <c r="J858" s="12"/>
      <c r="K858" s="12"/>
      <c r="L858" s="12"/>
      <c r="M858" s="12"/>
    </row>
    <row r="859">
      <c r="J859" s="12"/>
      <c r="K859" s="12"/>
      <c r="L859" s="12"/>
      <c r="M859" s="12"/>
    </row>
    <row r="860">
      <c r="J860" s="12"/>
      <c r="K860" s="12"/>
      <c r="L860" s="12"/>
      <c r="M860" s="12"/>
    </row>
    <row r="861">
      <c r="J861" s="12"/>
      <c r="K861" s="12"/>
      <c r="L861" s="12"/>
      <c r="M861" s="12"/>
    </row>
    <row r="862">
      <c r="J862" s="12"/>
      <c r="K862" s="12"/>
      <c r="L862" s="12"/>
      <c r="M862" s="12"/>
    </row>
    <row r="863">
      <c r="J863" s="12"/>
      <c r="K863" s="12"/>
      <c r="L863" s="12"/>
      <c r="M863" s="12"/>
    </row>
    <row r="864">
      <c r="J864" s="12"/>
      <c r="K864" s="12"/>
      <c r="L864" s="12"/>
      <c r="M864" s="12"/>
    </row>
    <row r="865">
      <c r="J865" s="12"/>
      <c r="K865" s="12"/>
      <c r="L865" s="12"/>
      <c r="M865" s="12"/>
    </row>
    <row r="866">
      <c r="J866" s="12"/>
      <c r="K866" s="12"/>
      <c r="L866" s="12"/>
      <c r="M866" s="12"/>
    </row>
    <row r="867">
      <c r="J867" s="12"/>
      <c r="K867" s="12"/>
      <c r="L867" s="12"/>
      <c r="M867" s="12"/>
    </row>
    <row r="868">
      <c r="J868" s="12"/>
      <c r="K868" s="12"/>
      <c r="L868" s="12"/>
      <c r="M868" s="12"/>
    </row>
    <row r="869">
      <c r="J869" s="12"/>
      <c r="K869" s="12"/>
      <c r="L869" s="12"/>
      <c r="M869" s="12"/>
    </row>
    <row r="870">
      <c r="J870" s="12"/>
      <c r="K870" s="12"/>
      <c r="L870" s="12"/>
      <c r="M870" s="12"/>
    </row>
    <row r="871">
      <c r="J871" s="12"/>
      <c r="K871" s="12"/>
      <c r="L871" s="12"/>
      <c r="M871" s="12"/>
    </row>
    <row r="872">
      <c r="J872" s="12"/>
      <c r="K872" s="12"/>
      <c r="L872" s="12"/>
      <c r="M872" s="12"/>
    </row>
    <row r="873">
      <c r="J873" s="12"/>
      <c r="K873" s="12"/>
      <c r="L873" s="12"/>
      <c r="M873" s="12"/>
    </row>
    <row r="874">
      <c r="J874" s="12"/>
      <c r="K874" s="12"/>
      <c r="L874" s="12"/>
      <c r="M874" s="12"/>
    </row>
    <row r="875">
      <c r="J875" s="12"/>
      <c r="K875" s="12"/>
      <c r="L875" s="12"/>
      <c r="M875" s="12"/>
    </row>
    <row r="876">
      <c r="J876" s="12"/>
      <c r="K876" s="12"/>
      <c r="L876" s="12"/>
      <c r="M876" s="12"/>
    </row>
    <row r="877">
      <c r="J877" s="12"/>
      <c r="K877" s="12"/>
      <c r="L877" s="12"/>
      <c r="M877" s="12"/>
    </row>
    <row r="878">
      <c r="J878" s="12"/>
      <c r="K878" s="12"/>
      <c r="L878" s="12"/>
      <c r="M878" s="12"/>
    </row>
    <row r="879">
      <c r="J879" s="12"/>
      <c r="K879" s="12"/>
      <c r="L879" s="12"/>
      <c r="M879" s="12"/>
    </row>
    <row r="880">
      <c r="J880" s="12"/>
      <c r="K880" s="12"/>
      <c r="L880" s="12"/>
      <c r="M880" s="12"/>
    </row>
    <row r="881">
      <c r="J881" s="12"/>
      <c r="K881" s="12"/>
      <c r="L881" s="12"/>
      <c r="M881" s="12"/>
    </row>
    <row r="882">
      <c r="J882" s="12"/>
      <c r="K882" s="12"/>
      <c r="L882" s="12"/>
      <c r="M882" s="12"/>
    </row>
    <row r="883">
      <c r="J883" s="12"/>
      <c r="K883" s="12"/>
      <c r="L883" s="12"/>
      <c r="M883" s="12"/>
    </row>
    <row r="884">
      <c r="J884" s="12"/>
      <c r="K884" s="12"/>
      <c r="L884" s="12"/>
      <c r="M884" s="12"/>
    </row>
    <row r="885">
      <c r="J885" s="12"/>
      <c r="K885" s="12"/>
      <c r="L885" s="12"/>
      <c r="M885" s="12"/>
    </row>
    <row r="886">
      <c r="J886" s="12"/>
      <c r="K886" s="12"/>
      <c r="L886" s="12"/>
      <c r="M886" s="12"/>
    </row>
    <row r="887">
      <c r="J887" s="12"/>
      <c r="K887" s="12"/>
      <c r="L887" s="12"/>
      <c r="M887" s="12"/>
    </row>
    <row r="888">
      <c r="J888" s="12"/>
      <c r="K888" s="12"/>
      <c r="L888" s="12"/>
      <c r="M888" s="12"/>
    </row>
    <row r="889">
      <c r="J889" s="12"/>
      <c r="K889" s="12"/>
      <c r="L889" s="12"/>
      <c r="M889" s="12"/>
    </row>
    <row r="890">
      <c r="J890" s="12"/>
      <c r="K890" s="12"/>
      <c r="L890" s="12"/>
      <c r="M890" s="12"/>
    </row>
    <row r="891">
      <c r="J891" s="12"/>
      <c r="K891" s="12"/>
      <c r="L891" s="12"/>
      <c r="M891" s="12"/>
    </row>
    <row r="892">
      <c r="J892" s="12"/>
      <c r="K892" s="12"/>
      <c r="L892" s="12"/>
      <c r="M892" s="12"/>
    </row>
    <row r="893">
      <c r="J893" s="12"/>
      <c r="K893" s="12"/>
      <c r="L893" s="12"/>
      <c r="M893" s="12"/>
    </row>
    <row r="894">
      <c r="J894" s="12"/>
      <c r="K894" s="12"/>
      <c r="L894" s="12"/>
      <c r="M894" s="12"/>
    </row>
    <row r="895">
      <c r="J895" s="12"/>
      <c r="K895" s="12"/>
      <c r="L895" s="12"/>
      <c r="M895" s="12"/>
    </row>
    <row r="896">
      <c r="J896" s="12"/>
      <c r="K896" s="12"/>
      <c r="L896" s="12"/>
      <c r="M896" s="12"/>
    </row>
    <row r="897">
      <c r="J897" s="12"/>
      <c r="K897" s="12"/>
      <c r="L897" s="12"/>
      <c r="M897" s="12"/>
    </row>
    <row r="898">
      <c r="J898" s="12"/>
      <c r="K898" s="12"/>
      <c r="L898" s="12"/>
      <c r="M898" s="12"/>
    </row>
    <row r="899">
      <c r="J899" s="12"/>
      <c r="K899" s="12"/>
      <c r="L899" s="12"/>
      <c r="M899" s="12"/>
    </row>
    <row r="900">
      <c r="J900" s="12"/>
      <c r="K900" s="12"/>
      <c r="L900" s="12"/>
      <c r="M900" s="12"/>
    </row>
    <row r="901">
      <c r="J901" s="12"/>
      <c r="K901" s="12"/>
      <c r="L901" s="12"/>
      <c r="M901" s="12"/>
    </row>
    <row r="902">
      <c r="J902" s="12"/>
      <c r="K902" s="12"/>
      <c r="L902" s="12"/>
      <c r="M902" s="12"/>
    </row>
    <row r="903">
      <c r="J903" s="12"/>
      <c r="K903" s="12"/>
      <c r="L903" s="12"/>
      <c r="M903" s="12"/>
    </row>
    <row r="904">
      <c r="J904" s="12"/>
      <c r="K904" s="12"/>
      <c r="L904" s="12"/>
      <c r="M904" s="12"/>
    </row>
    <row r="905">
      <c r="J905" s="12"/>
      <c r="K905" s="12"/>
      <c r="L905" s="12"/>
      <c r="M905" s="12"/>
    </row>
    <row r="906">
      <c r="J906" s="12"/>
      <c r="K906" s="12"/>
      <c r="L906" s="12"/>
      <c r="M906" s="12"/>
    </row>
    <row r="907">
      <c r="J907" s="12"/>
      <c r="K907" s="12"/>
      <c r="L907" s="12"/>
      <c r="M907" s="12"/>
    </row>
    <row r="908">
      <c r="J908" s="12"/>
      <c r="K908" s="12"/>
      <c r="L908" s="12"/>
      <c r="M908" s="12"/>
    </row>
    <row r="909">
      <c r="J909" s="12"/>
      <c r="K909" s="12"/>
      <c r="L909" s="12"/>
      <c r="M909" s="12"/>
    </row>
    <row r="910">
      <c r="J910" s="12"/>
      <c r="K910" s="12"/>
      <c r="L910" s="12"/>
      <c r="M910" s="12"/>
    </row>
    <row r="911">
      <c r="J911" s="12"/>
      <c r="K911" s="12"/>
      <c r="L911" s="12"/>
      <c r="M911" s="12"/>
    </row>
    <row r="912">
      <c r="J912" s="12"/>
      <c r="K912" s="12"/>
      <c r="L912" s="12"/>
      <c r="M912" s="12"/>
    </row>
    <row r="913">
      <c r="J913" s="12"/>
      <c r="K913" s="12"/>
      <c r="L913" s="12"/>
      <c r="M913" s="12"/>
    </row>
    <row r="914">
      <c r="J914" s="12"/>
      <c r="K914" s="12"/>
      <c r="L914" s="12"/>
      <c r="M914" s="12"/>
    </row>
    <row r="915">
      <c r="J915" s="12"/>
      <c r="K915" s="12"/>
      <c r="L915" s="12"/>
      <c r="M915" s="12"/>
    </row>
    <row r="916">
      <c r="J916" s="12"/>
      <c r="K916" s="12"/>
      <c r="L916" s="12"/>
      <c r="M916" s="12"/>
    </row>
    <row r="917">
      <c r="J917" s="12"/>
      <c r="K917" s="12"/>
      <c r="L917" s="12"/>
      <c r="M917" s="12"/>
    </row>
    <row r="918">
      <c r="J918" s="12"/>
      <c r="K918" s="12"/>
      <c r="L918" s="12"/>
      <c r="M918" s="12"/>
    </row>
    <row r="919">
      <c r="J919" s="12"/>
      <c r="K919" s="12"/>
      <c r="L919" s="12"/>
      <c r="M919" s="12"/>
    </row>
    <row r="920">
      <c r="J920" s="12"/>
      <c r="K920" s="12"/>
      <c r="L920" s="12"/>
      <c r="M920" s="12"/>
    </row>
    <row r="921">
      <c r="J921" s="12"/>
      <c r="K921" s="12"/>
      <c r="L921" s="12"/>
      <c r="M921" s="12"/>
    </row>
    <row r="922">
      <c r="J922" s="12"/>
      <c r="K922" s="12"/>
      <c r="L922" s="12"/>
      <c r="M922" s="12"/>
    </row>
    <row r="923">
      <c r="J923" s="12"/>
      <c r="K923" s="12"/>
      <c r="L923" s="12"/>
      <c r="M923" s="12"/>
    </row>
    <row r="924">
      <c r="J924" s="12"/>
      <c r="K924" s="12"/>
      <c r="L924" s="12"/>
      <c r="M924" s="12"/>
    </row>
    <row r="925">
      <c r="J925" s="12"/>
      <c r="K925" s="12"/>
      <c r="L925" s="12"/>
      <c r="M925" s="12"/>
    </row>
    <row r="926">
      <c r="J926" s="12"/>
      <c r="K926" s="12"/>
      <c r="L926" s="12"/>
      <c r="M926" s="12"/>
    </row>
    <row r="927">
      <c r="J927" s="12"/>
      <c r="K927" s="12"/>
      <c r="L927" s="12"/>
      <c r="M927" s="12"/>
    </row>
    <row r="928">
      <c r="J928" s="12"/>
      <c r="K928" s="12"/>
      <c r="L928" s="12"/>
      <c r="M928" s="12"/>
    </row>
    <row r="929">
      <c r="J929" s="12"/>
      <c r="K929" s="12"/>
      <c r="L929" s="12"/>
      <c r="M929" s="12"/>
    </row>
    <row r="930">
      <c r="J930" s="12"/>
      <c r="K930" s="12"/>
      <c r="L930" s="12"/>
      <c r="M930" s="12"/>
    </row>
    <row r="931">
      <c r="J931" s="12"/>
      <c r="K931" s="12"/>
      <c r="L931" s="12"/>
      <c r="M931" s="12"/>
    </row>
    <row r="932">
      <c r="J932" s="12"/>
      <c r="K932" s="12"/>
      <c r="L932" s="12"/>
      <c r="M932" s="12"/>
    </row>
    <row r="933">
      <c r="J933" s="12"/>
      <c r="K933" s="12"/>
      <c r="L933" s="12"/>
      <c r="M933" s="12"/>
    </row>
    <row r="934">
      <c r="J934" s="12"/>
      <c r="K934" s="12"/>
      <c r="L934" s="12"/>
      <c r="M934" s="12"/>
    </row>
    <row r="935">
      <c r="J935" s="12"/>
      <c r="K935" s="12"/>
      <c r="L935" s="12"/>
      <c r="M935" s="12"/>
    </row>
    <row r="936">
      <c r="J936" s="12"/>
      <c r="K936" s="12"/>
      <c r="L936" s="12"/>
      <c r="M936" s="12"/>
    </row>
    <row r="937">
      <c r="J937" s="12"/>
      <c r="K937" s="12"/>
      <c r="L937" s="12"/>
      <c r="M937" s="12"/>
    </row>
    <row r="938">
      <c r="J938" s="12"/>
      <c r="K938" s="12"/>
      <c r="L938" s="12"/>
      <c r="M938" s="12"/>
    </row>
    <row r="939">
      <c r="J939" s="12"/>
      <c r="K939" s="12"/>
      <c r="L939" s="12"/>
      <c r="M939" s="12"/>
    </row>
    <row r="940">
      <c r="J940" s="12"/>
      <c r="K940" s="12"/>
      <c r="L940" s="12"/>
      <c r="M940" s="12"/>
    </row>
    <row r="941">
      <c r="J941" s="12"/>
      <c r="K941" s="12"/>
      <c r="L941" s="12"/>
      <c r="M941" s="12"/>
    </row>
    <row r="942">
      <c r="J942" s="12"/>
      <c r="K942" s="12"/>
      <c r="L942" s="12"/>
      <c r="M942" s="12"/>
    </row>
    <row r="943">
      <c r="J943" s="12"/>
      <c r="K943" s="12"/>
      <c r="L943" s="12"/>
      <c r="M943" s="12"/>
    </row>
    <row r="944">
      <c r="J944" s="12"/>
      <c r="K944" s="12"/>
      <c r="L944" s="12"/>
      <c r="M944" s="12"/>
    </row>
    <row r="945">
      <c r="J945" s="12"/>
      <c r="K945" s="12"/>
      <c r="L945" s="12"/>
      <c r="M945" s="12"/>
    </row>
    <row r="946">
      <c r="J946" s="12"/>
      <c r="K946" s="12"/>
      <c r="L946" s="12"/>
      <c r="M946" s="12"/>
    </row>
    <row r="947">
      <c r="J947" s="12"/>
      <c r="K947" s="12"/>
      <c r="L947" s="12"/>
      <c r="M947" s="12"/>
    </row>
    <row r="948">
      <c r="J948" s="12"/>
      <c r="K948" s="12"/>
      <c r="L948" s="12"/>
      <c r="M948" s="12"/>
    </row>
    <row r="949">
      <c r="J949" s="12"/>
      <c r="K949" s="12"/>
      <c r="L949" s="12"/>
      <c r="M949" s="12"/>
    </row>
    <row r="950">
      <c r="J950" s="12"/>
      <c r="K950" s="12"/>
      <c r="L950" s="12"/>
      <c r="M950" s="12"/>
    </row>
    <row r="951">
      <c r="J951" s="12"/>
      <c r="K951" s="12"/>
      <c r="L951" s="12"/>
      <c r="M951" s="12"/>
    </row>
    <row r="952">
      <c r="J952" s="12"/>
      <c r="K952" s="12"/>
      <c r="L952" s="12"/>
      <c r="M952" s="12"/>
    </row>
    <row r="953">
      <c r="J953" s="12"/>
      <c r="K953" s="12"/>
      <c r="L953" s="12"/>
      <c r="M953" s="12"/>
    </row>
    <row r="954">
      <c r="J954" s="12"/>
      <c r="K954" s="12"/>
      <c r="L954" s="12"/>
      <c r="M954" s="12"/>
    </row>
    <row r="955">
      <c r="J955" s="12"/>
      <c r="K955" s="12"/>
      <c r="L955" s="12"/>
      <c r="M955" s="12"/>
    </row>
    <row r="956">
      <c r="J956" s="12"/>
      <c r="K956" s="12"/>
      <c r="L956" s="12"/>
      <c r="M956" s="12"/>
    </row>
    <row r="957">
      <c r="J957" s="12"/>
      <c r="K957" s="12"/>
      <c r="L957" s="12"/>
      <c r="M957" s="12"/>
    </row>
    <row r="958">
      <c r="J958" s="12"/>
      <c r="K958" s="12"/>
      <c r="L958" s="12"/>
      <c r="M958" s="12"/>
    </row>
    <row r="959">
      <c r="J959" s="12"/>
      <c r="K959" s="12"/>
      <c r="L959" s="12"/>
      <c r="M959" s="12"/>
    </row>
    <row r="960">
      <c r="J960" s="12"/>
      <c r="K960" s="12"/>
      <c r="L960" s="12"/>
      <c r="M960" s="12"/>
    </row>
    <row r="961">
      <c r="J961" s="12"/>
      <c r="K961" s="12"/>
      <c r="L961" s="12"/>
      <c r="M961" s="12"/>
    </row>
    <row r="962">
      <c r="J962" s="12"/>
      <c r="K962" s="12"/>
      <c r="L962" s="12"/>
      <c r="M962" s="12"/>
    </row>
    <row r="963">
      <c r="J963" s="12"/>
      <c r="K963" s="12"/>
      <c r="L963" s="12"/>
      <c r="M963" s="12"/>
    </row>
    <row r="964">
      <c r="J964" s="12"/>
      <c r="K964" s="12"/>
      <c r="L964" s="12"/>
      <c r="M964" s="12"/>
    </row>
    <row r="965">
      <c r="J965" s="12"/>
      <c r="K965" s="12"/>
      <c r="L965" s="12"/>
      <c r="M965" s="12"/>
    </row>
    <row r="966">
      <c r="J966" s="12"/>
      <c r="K966" s="12"/>
      <c r="L966" s="12"/>
      <c r="M966" s="12"/>
    </row>
    <row r="967">
      <c r="J967" s="12"/>
      <c r="K967" s="12"/>
      <c r="L967" s="12"/>
      <c r="M967" s="12"/>
    </row>
    <row r="968">
      <c r="J968" s="12"/>
      <c r="K968" s="12"/>
      <c r="L968" s="12"/>
      <c r="M968" s="12"/>
    </row>
    <row r="969">
      <c r="J969" s="12"/>
      <c r="K969" s="12"/>
      <c r="L969" s="12"/>
      <c r="M969" s="12"/>
    </row>
    <row r="970">
      <c r="J970" s="12"/>
      <c r="K970" s="12"/>
      <c r="L970" s="12"/>
      <c r="M970" s="12"/>
    </row>
    <row r="971">
      <c r="J971" s="12"/>
      <c r="K971" s="12"/>
      <c r="L971" s="12"/>
      <c r="M971" s="12"/>
    </row>
    <row r="972">
      <c r="J972" s="12"/>
      <c r="K972" s="12"/>
      <c r="L972" s="12"/>
      <c r="M972" s="12"/>
    </row>
    <row r="973">
      <c r="J973" s="12"/>
      <c r="K973" s="12"/>
      <c r="L973" s="12"/>
      <c r="M973" s="12"/>
    </row>
    <row r="974">
      <c r="J974" s="12"/>
      <c r="K974" s="12"/>
      <c r="L974" s="12"/>
      <c r="M974" s="12"/>
    </row>
    <row r="975">
      <c r="J975" s="12"/>
      <c r="K975" s="12"/>
      <c r="L975" s="12"/>
      <c r="M975" s="12"/>
    </row>
    <row r="976">
      <c r="J976" s="12"/>
      <c r="K976" s="12"/>
      <c r="L976" s="12"/>
      <c r="M976" s="12"/>
    </row>
    <row r="977">
      <c r="J977" s="12"/>
      <c r="K977" s="12"/>
      <c r="L977" s="12"/>
      <c r="M977" s="12"/>
    </row>
    <row r="978">
      <c r="J978" s="12"/>
      <c r="K978" s="12"/>
      <c r="L978" s="12"/>
      <c r="M978" s="12"/>
    </row>
    <row r="979">
      <c r="J979" s="12"/>
      <c r="K979" s="12"/>
      <c r="L979" s="12"/>
      <c r="M979" s="12"/>
    </row>
    <row r="980">
      <c r="J980" s="12"/>
      <c r="K980" s="12"/>
      <c r="L980" s="12"/>
      <c r="M980" s="12"/>
    </row>
    <row r="981">
      <c r="J981" s="12"/>
      <c r="K981" s="12"/>
      <c r="L981" s="12"/>
      <c r="M981" s="12"/>
    </row>
    <row r="982">
      <c r="J982" s="12"/>
      <c r="K982" s="12"/>
      <c r="L982" s="12"/>
      <c r="M982" s="12"/>
    </row>
    <row r="983">
      <c r="J983" s="12"/>
      <c r="K983" s="12"/>
      <c r="L983" s="12"/>
      <c r="M983" s="12"/>
    </row>
    <row r="984">
      <c r="J984" s="12"/>
      <c r="K984" s="12"/>
      <c r="L984" s="12"/>
      <c r="M984" s="12"/>
    </row>
    <row r="985">
      <c r="J985" s="12"/>
      <c r="K985" s="12"/>
      <c r="L985" s="12"/>
      <c r="M985" s="12"/>
    </row>
    <row r="986">
      <c r="J986" s="12"/>
      <c r="K986" s="12"/>
      <c r="L986" s="12"/>
      <c r="M986" s="12"/>
    </row>
    <row r="987">
      <c r="J987" s="12"/>
      <c r="K987" s="12"/>
      <c r="L987" s="12"/>
      <c r="M987" s="12"/>
    </row>
    <row r="988">
      <c r="J988" s="12"/>
      <c r="K988" s="12"/>
      <c r="L988" s="12"/>
      <c r="M988" s="12"/>
    </row>
    <row r="989">
      <c r="J989" s="12"/>
      <c r="K989" s="12"/>
      <c r="L989" s="12"/>
      <c r="M989" s="12"/>
    </row>
    <row r="990">
      <c r="J990" s="12"/>
      <c r="K990" s="12"/>
      <c r="L990" s="12"/>
      <c r="M990" s="12"/>
    </row>
    <row r="991">
      <c r="J991" s="12"/>
      <c r="K991" s="12"/>
      <c r="L991" s="12"/>
      <c r="M991" s="12"/>
    </row>
    <row r="992">
      <c r="J992" s="12"/>
      <c r="K992" s="12"/>
      <c r="L992" s="12"/>
      <c r="M992" s="12"/>
    </row>
    <row r="993">
      <c r="J993" s="12"/>
      <c r="K993" s="12"/>
      <c r="L993" s="12"/>
      <c r="M993" s="12"/>
    </row>
    <row r="994">
      <c r="J994" s="12"/>
      <c r="K994" s="12"/>
      <c r="L994" s="12"/>
      <c r="M994" s="12"/>
    </row>
    <row r="995">
      <c r="J995" s="12"/>
      <c r="K995" s="12"/>
      <c r="L995" s="12"/>
      <c r="M995" s="12"/>
    </row>
    <row r="996">
      <c r="J996" s="12"/>
      <c r="K996" s="12"/>
      <c r="L996" s="12"/>
      <c r="M996" s="12"/>
    </row>
    <row r="997">
      <c r="J997" s="12"/>
      <c r="K997" s="12"/>
      <c r="L997" s="12"/>
      <c r="M997" s="12"/>
    </row>
    <row r="998">
      <c r="J998" s="12"/>
      <c r="K998" s="12"/>
      <c r="L998" s="12"/>
      <c r="M998" s="12"/>
    </row>
  </sheetData>
  <mergeCells count="20">
    <mergeCell ref="G2:G3"/>
    <mergeCell ref="H2:H3"/>
    <mergeCell ref="I2:I3"/>
    <mergeCell ref="J2:J3"/>
    <mergeCell ref="K2:K3"/>
    <mergeCell ref="L2:L3"/>
    <mergeCell ref="M2:M3"/>
    <mergeCell ref="N2:N3"/>
    <mergeCell ref="O2:R2"/>
    <mergeCell ref="S2:V2"/>
    <mergeCell ref="W2:AB2"/>
    <mergeCell ref="AC2:AF2"/>
    <mergeCell ref="A1:A3"/>
    <mergeCell ref="B1:B3"/>
    <mergeCell ref="C1:C3"/>
    <mergeCell ref="D1:AG1"/>
    <mergeCell ref="D2:D3"/>
    <mergeCell ref="E2:E3"/>
    <mergeCell ref="F2:F3"/>
    <mergeCell ref="AG2:AG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4</v>
      </c>
      <c r="E1" s="2" t="s">
        <v>5</v>
      </c>
      <c r="F1" s="2" t="s">
        <v>6</v>
      </c>
      <c r="G1" s="3" t="s">
        <v>7</v>
      </c>
      <c r="H1" s="2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19" t="s">
        <v>313</v>
      </c>
      <c r="P1" s="19" t="s">
        <v>314</v>
      </c>
      <c r="Q1" s="19" t="s">
        <v>315</v>
      </c>
      <c r="R1" s="19" t="s">
        <v>316</v>
      </c>
      <c r="S1" s="19" t="s">
        <v>317</v>
      </c>
      <c r="T1" s="19" t="s">
        <v>318</v>
      </c>
      <c r="U1" s="19" t="s">
        <v>319</v>
      </c>
      <c r="V1" s="19" t="s">
        <v>320</v>
      </c>
      <c r="W1" s="20" t="s">
        <v>321</v>
      </c>
      <c r="X1" s="20" t="s">
        <v>322</v>
      </c>
      <c r="Y1" s="20" t="s">
        <v>323</v>
      </c>
      <c r="Z1" s="20" t="s">
        <v>324</v>
      </c>
      <c r="AA1" s="20" t="s">
        <v>325</v>
      </c>
      <c r="AB1" s="20" t="s">
        <v>326</v>
      </c>
      <c r="AC1" s="19" t="s">
        <v>327</v>
      </c>
      <c r="AD1" s="19" t="s">
        <v>328</v>
      </c>
      <c r="AE1" s="19" t="s">
        <v>329</v>
      </c>
      <c r="AF1" s="19" t="s">
        <v>330</v>
      </c>
      <c r="AG1" s="19" t="s">
        <v>19</v>
      </c>
    </row>
    <row r="2">
      <c r="A2" s="7" t="s">
        <v>30</v>
      </c>
      <c r="B2" s="7" t="s">
        <v>31</v>
      </c>
      <c r="C2" s="7" t="s">
        <v>32</v>
      </c>
      <c r="D2" s="7" t="s">
        <v>33</v>
      </c>
      <c r="E2" s="8">
        <v>14.1</v>
      </c>
      <c r="F2" s="8">
        <v>76.67</v>
      </c>
      <c r="G2" s="7">
        <v>49.57</v>
      </c>
      <c r="H2" s="7">
        <v>2.44</v>
      </c>
      <c r="I2" s="7">
        <v>4.22</v>
      </c>
      <c r="J2" s="9">
        <v>0.0766</v>
      </c>
      <c r="K2" s="9">
        <v>0.0541</v>
      </c>
      <c r="L2" s="9">
        <v>0.035</v>
      </c>
      <c r="M2" s="9">
        <v>0.1255</v>
      </c>
      <c r="N2" s="7">
        <v>18.77</v>
      </c>
      <c r="O2" s="7">
        <v>96.86</v>
      </c>
      <c r="P2" s="7">
        <v>104.21</v>
      </c>
      <c r="Q2" s="7">
        <v>98.99</v>
      </c>
      <c r="R2" s="7">
        <v>111.24</v>
      </c>
      <c r="S2" s="7">
        <v>17.4</v>
      </c>
      <c r="T2" s="7">
        <v>17.98</v>
      </c>
      <c r="U2" s="7">
        <v>11.0</v>
      </c>
      <c r="V2" s="7">
        <v>19.94</v>
      </c>
      <c r="W2" s="7" t="s">
        <v>34</v>
      </c>
      <c r="X2" s="7" t="s">
        <v>35</v>
      </c>
      <c r="Y2" s="7" t="s">
        <v>36</v>
      </c>
      <c r="Z2" s="7" t="s">
        <v>36</v>
      </c>
      <c r="AA2" s="7" t="s">
        <v>36</v>
      </c>
      <c r="AB2" s="7" t="s">
        <v>36</v>
      </c>
      <c r="AC2" s="7">
        <v>24.0</v>
      </c>
      <c r="AD2" s="7">
        <v>7.2</v>
      </c>
      <c r="AE2" s="7">
        <v>7.5</v>
      </c>
      <c r="AF2" s="7">
        <v>9.2</v>
      </c>
      <c r="AG2" s="7">
        <v>3.0</v>
      </c>
    </row>
    <row r="3">
      <c r="A3" s="7" t="s">
        <v>37</v>
      </c>
      <c r="B3" s="7" t="s">
        <v>38</v>
      </c>
      <c r="C3" s="7" t="s">
        <v>39</v>
      </c>
      <c r="D3" s="7" t="s">
        <v>40</v>
      </c>
      <c r="E3" s="8">
        <v>1.19</v>
      </c>
      <c r="F3" s="8">
        <v>138.62</v>
      </c>
      <c r="G3" s="7">
        <v>255.09</v>
      </c>
      <c r="H3" s="7">
        <v>12.41</v>
      </c>
      <c r="I3" s="7">
        <v>83.15</v>
      </c>
      <c r="J3" s="7" t="s">
        <v>41</v>
      </c>
      <c r="K3" s="9">
        <v>0.0554</v>
      </c>
      <c r="L3" s="9">
        <v>0.043</v>
      </c>
      <c r="M3" s="9">
        <v>0.0897</v>
      </c>
      <c r="N3" s="7">
        <v>1.11</v>
      </c>
      <c r="O3" s="7">
        <v>59.47</v>
      </c>
      <c r="P3" s="7">
        <v>69.42</v>
      </c>
      <c r="Q3" s="7">
        <v>65.13</v>
      </c>
      <c r="R3" s="7">
        <v>67.39</v>
      </c>
      <c r="S3" s="7">
        <v>17.93</v>
      </c>
      <c r="T3" s="7">
        <v>15.88</v>
      </c>
      <c r="U3" s="7">
        <v>8.92</v>
      </c>
      <c r="V3" s="7">
        <v>8.85</v>
      </c>
      <c r="W3" s="7" t="s">
        <v>42</v>
      </c>
      <c r="X3" s="7" t="s">
        <v>43</v>
      </c>
      <c r="Y3" s="7" t="s">
        <v>44</v>
      </c>
      <c r="Z3" s="7" t="s">
        <v>44</v>
      </c>
      <c r="AA3" s="7" t="s">
        <v>41</v>
      </c>
      <c r="AB3" s="7" t="s">
        <v>41</v>
      </c>
      <c r="AC3" s="7">
        <v>14.0</v>
      </c>
      <c r="AD3" s="7">
        <v>0.1</v>
      </c>
      <c r="AE3" s="7">
        <v>7.1</v>
      </c>
      <c r="AF3" s="7">
        <v>7.2</v>
      </c>
      <c r="AG3" s="7">
        <v>2.0</v>
      </c>
    </row>
    <row r="4">
      <c r="A4" s="7" t="s">
        <v>45</v>
      </c>
      <c r="B4" s="7" t="s">
        <v>46</v>
      </c>
      <c r="C4" s="7" t="s">
        <v>47</v>
      </c>
      <c r="D4" s="7" t="s">
        <v>40</v>
      </c>
      <c r="E4" s="10">
        <v>18.31</v>
      </c>
      <c r="F4" s="8">
        <v>324.56</v>
      </c>
      <c r="G4" s="7">
        <v>214.96</v>
      </c>
      <c r="H4" s="7">
        <v>2.86</v>
      </c>
      <c r="I4" s="7">
        <v>33.0</v>
      </c>
      <c r="J4" s="9">
        <v>0.0118</v>
      </c>
      <c r="K4" s="9">
        <v>0.2756</v>
      </c>
      <c r="L4" s="9">
        <v>0.1648</v>
      </c>
      <c r="M4" s="9">
        <v>0.3653</v>
      </c>
      <c r="N4" s="7">
        <v>9.92</v>
      </c>
      <c r="O4" s="7">
        <v>40.99</v>
      </c>
      <c r="P4" s="7">
        <v>43.22</v>
      </c>
      <c r="Q4" s="7">
        <v>44.33</v>
      </c>
      <c r="R4" s="7">
        <v>50.53</v>
      </c>
      <c r="S4" s="7">
        <v>6.92</v>
      </c>
      <c r="T4" s="7">
        <v>7.25</v>
      </c>
      <c r="U4" s="7">
        <v>8.34</v>
      </c>
      <c r="V4" s="7">
        <v>9.62</v>
      </c>
      <c r="W4" s="7" t="s">
        <v>34</v>
      </c>
      <c r="X4" s="7" t="s">
        <v>35</v>
      </c>
      <c r="Y4" s="7" t="s">
        <v>41</v>
      </c>
      <c r="Z4" s="7" t="s">
        <v>41</v>
      </c>
      <c r="AA4" s="7" t="s">
        <v>41</v>
      </c>
      <c r="AB4" s="7" t="s">
        <v>41</v>
      </c>
      <c r="AC4" s="7">
        <v>9.0</v>
      </c>
      <c r="AD4" s="7">
        <v>0.3</v>
      </c>
      <c r="AE4" s="7">
        <v>4.3</v>
      </c>
      <c r="AF4" s="7">
        <v>4.8</v>
      </c>
      <c r="AG4" s="7">
        <v>2.0</v>
      </c>
    </row>
    <row r="5">
      <c r="A5" s="7" t="s">
        <v>48</v>
      </c>
      <c r="B5" s="7" t="s">
        <v>49</v>
      </c>
      <c r="C5" s="7" t="s">
        <v>50</v>
      </c>
      <c r="D5" s="7" t="s">
        <v>40</v>
      </c>
      <c r="E5" s="10">
        <v>0.81</v>
      </c>
      <c r="F5" s="8">
        <v>235.32</v>
      </c>
      <c r="G5" s="7">
        <v>177.06</v>
      </c>
      <c r="H5" s="7">
        <v>4.02</v>
      </c>
      <c r="I5" s="7">
        <v>23.73</v>
      </c>
      <c r="J5" s="9">
        <v>0.0232</v>
      </c>
      <c r="K5" s="9">
        <v>0.1595</v>
      </c>
      <c r="L5" s="9">
        <v>0.1447</v>
      </c>
      <c r="M5" s="7" t="s">
        <v>51</v>
      </c>
      <c r="N5" s="7">
        <v>10.04</v>
      </c>
      <c r="O5" s="7">
        <v>21.03</v>
      </c>
      <c r="P5" s="7">
        <v>21.36</v>
      </c>
      <c r="Q5" s="7">
        <v>19.21</v>
      </c>
      <c r="R5" s="7">
        <v>23.22</v>
      </c>
      <c r="S5" s="7">
        <v>10.07</v>
      </c>
      <c r="T5" s="7">
        <v>10.5</v>
      </c>
      <c r="U5" s="7">
        <v>8.91</v>
      </c>
      <c r="V5" s="7">
        <v>11.64</v>
      </c>
      <c r="W5" s="7" t="s">
        <v>52</v>
      </c>
      <c r="X5" s="7" t="s">
        <v>52</v>
      </c>
      <c r="Y5" s="7" t="s">
        <v>53</v>
      </c>
      <c r="Z5" s="7" t="s">
        <v>54</v>
      </c>
      <c r="AA5" s="7" t="s">
        <v>52</v>
      </c>
      <c r="AB5" s="7" t="s">
        <v>55</v>
      </c>
      <c r="AC5" s="7">
        <v>24.0</v>
      </c>
      <c r="AD5" s="7">
        <v>4.1</v>
      </c>
      <c r="AE5" s="7">
        <v>14.4</v>
      </c>
      <c r="AF5" s="7">
        <v>5.9</v>
      </c>
      <c r="AG5" s="7">
        <v>3.0</v>
      </c>
    </row>
    <row r="6">
      <c r="A6" s="7" t="s">
        <v>56</v>
      </c>
      <c r="B6" s="7" t="s">
        <v>57</v>
      </c>
      <c r="C6" s="7" t="s">
        <v>58</v>
      </c>
      <c r="D6" s="7" t="s">
        <v>40</v>
      </c>
      <c r="E6" s="8">
        <v>3.2</v>
      </c>
      <c r="F6" s="8">
        <v>34.1</v>
      </c>
      <c r="G6" s="7">
        <v>32.31</v>
      </c>
      <c r="H6" s="7">
        <v>0.007846</v>
      </c>
      <c r="I6" s="7" t="s">
        <v>41</v>
      </c>
      <c r="J6" s="9">
        <v>0.0521</v>
      </c>
      <c r="K6" s="9">
        <v>0.025</v>
      </c>
      <c r="L6" s="9">
        <v>0.0175</v>
      </c>
      <c r="M6" s="9">
        <v>0.0428</v>
      </c>
      <c r="N6" s="7">
        <v>18991.81</v>
      </c>
      <c r="O6" s="7">
        <v>96810.0</v>
      </c>
      <c r="P6" s="7">
        <v>105750.0</v>
      </c>
      <c r="Q6" s="7">
        <v>104000.0</v>
      </c>
      <c r="R6" s="7">
        <v>117611.0</v>
      </c>
      <c r="S6" s="7">
        <v>6180.0</v>
      </c>
      <c r="T6" s="7">
        <v>7620.0</v>
      </c>
      <c r="U6" s="7">
        <v>6780.0</v>
      </c>
      <c r="V6" s="7">
        <v>11440.0</v>
      </c>
      <c r="W6" s="7" t="s">
        <v>35</v>
      </c>
      <c r="X6" s="7" t="s">
        <v>43</v>
      </c>
      <c r="Y6" s="7" t="s">
        <v>59</v>
      </c>
      <c r="Z6" s="7" t="s">
        <v>59</v>
      </c>
      <c r="AA6" s="7" t="s">
        <v>35</v>
      </c>
      <c r="AB6" s="7" t="s">
        <v>35</v>
      </c>
      <c r="AC6" s="7" t="s">
        <v>41</v>
      </c>
      <c r="AD6" s="7" t="s">
        <v>41</v>
      </c>
      <c r="AE6" s="7" t="s">
        <v>41</v>
      </c>
      <c r="AF6" s="7" t="s">
        <v>41</v>
      </c>
      <c r="AG6" s="7" t="s">
        <v>41</v>
      </c>
    </row>
    <row r="7">
      <c r="A7" s="7" t="s">
        <v>60</v>
      </c>
      <c r="B7" s="7" t="s">
        <v>61</v>
      </c>
      <c r="C7" s="7" t="s">
        <v>62</v>
      </c>
      <c r="D7" s="7" t="s">
        <v>40</v>
      </c>
      <c r="E7" s="8">
        <v>6.03</v>
      </c>
      <c r="F7" s="8">
        <v>223.67</v>
      </c>
      <c r="G7" s="7">
        <v>119.88</v>
      </c>
      <c r="H7" s="7">
        <v>4.2</v>
      </c>
      <c r="I7" s="7">
        <v>18.93</v>
      </c>
      <c r="J7" s="9">
        <v>0.0199</v>
      </c>
      <c r="K7" s="9">
        <v>0.0954</v>
      </c>
      <c r="L7" s="9">
        <v>0.0623</v>
      </c>
      <c r="M7" s="9">
        <v>0.3375</v>
      </c>
      <c r="N7" s="7">
        <v>11.86</v>
      </c>
      <c r="O7" s="7">
        <v>54.72</v>
      </c>
      <c r="P7" s="7">
        <v>53.79</v>
      </c>
      <c r="Q7" s="7">
        <v>41.75</v>
      </c>
      <c r="R7" s="7">
        <v>50.98</v>
      </c>
      <c r="S7" s="7">
        <v>11.43</v>
      </c>
      <c r="T7" s="7">
        <v>11.07</v>
      </c>
      <c r="U7" s="7">
        <v>7.41</v>
      </c>
      <c r="V7" s="7">
        <v>9.32</v>
      </c>
      <c r="W7" s="7" t="s">
        <v>59</v>
      </c>
      <c r="X7" s="7" t="s">
        <v>59</v>
      </c>
      <c r="Y7" s="7" t="s">
        <v>41</v>
      </c>
      <c r="Z7" s="7" t="s">
        <v>41</v>
      </c>
      <c r="AA7" s="7" t="s">
        <v>59</v>
      </c>
      <c r="AB7" s="7" t="s">
        <v>59</v>
      </c>
      <c r="AC7" s="7">
        <v>34.0</v>
      </c>
      <c r="AD7" s="7">
        <v>7.2</v>
      </c>
      <c r="AE7" s="7">
        <v>18.5</v>
      </c>
      <c r="AF7" s="7">
        <v>8.6</v>
      </c>
      <c r="AG7" s="7">
        <v>4.0</v>
      </c>
    </row>
    <row r="8">
      <c r="A8" s="7" t="s">
        <v>63</v>
      </c>
      <c r="B8" s="7" t="s">
        <v>64</v>
      </c>
      <c r="C8" s="7" t="s">
        <v>65</v>
      </c>
      <c r="D8" s="7" t="s">
        <v>40</v>
      </c>
      <c r="E8" s="8">
        <v>85.88</v>
      </c>
      <c r="F8" s="8">
        <v>103.53</v>
      </c>
      <c r="G8" s="7">
        <v>281.83</v>
      </c>
      <c r="H8" s="7">
        <v>35.92</v>
      </c>
      <c r="I8" s="7">
        <v>30.63</v>
      </c>
      <c r="J8" s="7" t="s">
        <v>51</v>
      </c>
      <c r="K8" s="9">
        <v>0.153</v>
      </c>
      <c r="L8" s="9">
        <v>0.1083</v>
      </c>
      <c r="M8" s="9">
        <v>0.2004</v>
      </c>
      <c r="N8" s="7">
        <v>8.75</v>
      </c>
      <c r="O8" s="7">
        <v>250.266</v>
      </c>
      <c r="P8" s="7">
        <v>376.844</v>
      </c>
      <c r="Q8" s="7">
        <v>509.711</v>
      </c>
      <c r="R8" s="7">
        <v>717.289</v>
      </c>
      <c r="S8" s="7">
        <v>108.99</v>
      </c>
      <c r="T8" s="7">
        <v>121.943</v>
      </c>
      <c r="U8" s="7">
        <v>157.659</v>
      </c>
      <c r="V8" s="7">
        <v>196.842</v>
      </c>
      <c r="W8" s="7" t="s">
        <v>59</v>
      </c>
      <c r="X8" s="7" t="s">
        <v>59</v>
      </c>
      <c r="Y8" s="7" t="s">
        <v>59</v>
      </c>
      <c r="Z8" s="7" t="s">
        <v>59</v>
      </c>
      <c r="AA8" s="7" t="s">
        <v>41</v>
      </c>
      <c r="AB8" s="7" t="s">
        <v>41</v>
      </c>
      <c r="AC8" s="7" t="s">
        <v>41</v>
      </c>
      <c r="AD8" s="7" t="s">
        <v>41</v>
      </c>
      <c r="AE8" s="7" t="s">
        <v>41</v>
      </c>
      <c r="AF8" s="7" t="s">
        <v>41</v>
      </c>
      <c r="AG8" s="7" t="s">
        <v>41</v>
      </c>
    </row>
    <row r="9">
      <c r="A9" s="7" t="s">
        <v>66</v>
      </c>
      <c r="B9" s="7" t="s">
        <v>67</v>
      </c>
      <c r="C9" s="7" t="s">
        <v>68</v>
      </c>
      <c r="D9" s="7" t="s">
        <v>40</v>
      </c>
      <c r="E9" s="8">
        <v>0.32</v>
      </c>
      <c r="F9" s="8">
        <v>86.86</v>
      </c>
      <c r="G9" s="7">
        <v>99.92</v>
      </c>
      <c r="H9" s="7">
        <v>10.13</v>
      </c>
      <c r="I9" s="7">
        <v>23.71</v>
      </c>
      <c r="J9" s="9">
        <v>0.0223</v>
      </c>
      <c r="K9" s="9">
        <v>0.2031</v>
      </c>
      <c r="L9" s="9">
        <v>0.1481</v>
      </c>
      <c r="M9" s="7" t="s">
        <v>51</v>
      </c>
      <c r="N9" s="7">
        <v>3.57</v>
      </c>
      <c r="O9" s="7">
        <v>24.72</v>
      </c>
      <c r="P9" s="7">
        <v>26.5</v>
      </c>
      <c r="Q9" s="7">
        <v>23.51</v>
      </c>
      <c r="R9" s="7">
        <v>29.06</v>
      </c>
      <c r="S9" s="7">
        <v>5.17</v>
      </c>
      <c r="T9" s="7">
        <v>5.35</v>
      </c>
      <c r="U9" s="7">
        <v>4.22</v>
      </c>
      <c r="V9" s="7">
        <v>7.44</v>
      </c>
      <c r="W9" s="7" t="s">
        <v>55</v>
      </c>
      <c r="X9" s="7" t="s">
        <v>43</v>
      </c>
      <c r="Y9" s="7" t="s">
        <v>53</v>
      </c>
      <c r="Z9" s="7" t="s">
        <v>69</v>
      </c>
      <c r="AA9" s="7" t="s">
        <v>42</v>
      </c>
      <c r="AB9" s="7" t="s">
        <v>43</v>
      </c>
      <c r="AC9" s="7">
        <v>25.0</v>
      </c>
      <c r="AD9" s="7">
        <v>6.1</v>
      </c>
      <c r="AE9" s="7">
        <v>14.2</v>
      </c>
      <c r="AF9" s="7">
        <v>4.3</v>
      </c>
      <c r="AG9" s="7">
        <v>2.0</v>
      </c>
    </row>
    <row r="10">
      <c r="A10" s="7" t="s">
        <v>70</v>
      </c>
      <c r="B10" s="7" t="s">
        <v>71</v>
      </c>
      <c r="C10" s="7" t="s">
        <v>72</v>
      </c>
      <c r="D10" s="7" t="s">
        <v>33</v>
      </c>
      <c r="E10" s="8">
        <v>4.6</v>
      </c>
      <c r="F10" s="8">
        <v>64.8</v>
      </c>
      <c r="G10" s="7">
        <v>1.93</v>
      </c>
      <c r="H10" s="7">
        <v>0.03867</v>
      </c>
      <c r="I10" s="7">
        <v>13.52</v>
      </c>
      <c r="J10" s="9">
        <v>0.0176</v>
      </c>
      <c r="K10" s="9">
        <v>0.1195</v>
      </c>
      <c r="L10" s="9">
        <v>0.0908</v>
      </c>
      <c r="M10" s="9">
        <v>0.1921</v>
      </c>
      <c r="N10" s="7">
        <v>4.88</v>
      </c>
      <c r="O10" s="7">
        <v>0.95543</v>
      </c>
      <c r="P10" s="7">
        <v>1.01</v>
      </c>
      <c r="Q10" s="7">
        <v>0.98892</v>
      </c>
      <c r="R10" s="7">
        <v>1.08</v>
      </c>
      <c r="S10" s="7">
        <v>0.21737</v>
      </c>
      <c r="T10" s="7">
        <v>0.25832</v>
      </c>
      <c r="U10" s="7">
        <v>0.25789</v>
      </c>
      <c r="V10" s="7">
        <v>0.23076</v>
      </c>
      <c r="W10" s="7" t="s">
        <v>59</v>
      </c>
      <c r="X10" s="7" t="s">
        <v>43</v>
      </c>
      <c r="Y10" s="7" t="s">
        <v>41</v>
      </c>
      <c r="Z10" s="7" t="s">
        <v>41</v>
      </c>
      <c r="AA10" s="7" t="s">
        <v>59</v>
      </c>
      <c r="AB10" s="7" t="s">
        <v>43</v>
      </c>
      <c r="AC10" s="7" t="s">
        <v>41</v>
      </c>
      <c r="AD10" s="7" t="s">
        <v>41</v>
      </c>
      <c r="AE10" s="7" t="s">
        <v>41</v>
      </c>
      <c r="AF10" s="7" t="s">
        <v>41</v>
      </c>
      <c r="AG10" s="7" t="s">
        <v>41</v>
      </c>
    </row>
    <row r="11">
      <c r="A11" s="11" t="s">
        <v>73</v>
      </c>
      <c r="B11" s="11" t="s">
        <v>74</v>
      </c>
      <c r="C11" s="11" t="s">
        <v>75</v>
      </c>
      <c r="D11" s="7" t="s">
        <v>33</v>
      </c>
      <c r="E11" s="8">
        <v>26.44</v>
      </c>
      <c r="F11" s="8">
        <v>24.14</v>
      </c>
      <c r="G11" s="7">
        <v>189.846</v>
      </c>
      <c r="H11" s="7">
        <v>15.264</v>
      </c>
      <c r="I11" s="7">
        <v>10.72</v>
      </c>
      <c r="J11" s="9">
        <v>0.0321</v>
      </c>
      <c r="K11" s="9">
        <v>0.0246</v>
      </c>
      <c r="L11" s="9">
        <v>0.0197</v>
      </c>
      <c r="M11" s="9">
        <v>0.0401</v>
      </c>
      <c r="N11" s="7">
        <v>2.33</v>
      </c>
      <c r="O11" s="7">
        <v>388.379</v>
      </c>
      <c r="P11" s="7">
        <v>344.877</v>
      </c>
      <c r="Q11" s="7">
        <v>180.543</v>
      </c>
      <c r="R11" s="7">
        <v>261.504</v>
      </c>
      <c r="S11" s="7">
        <v>36.758</v>
      </c>
      <c r="T11" s="7">
        <v>21.447</v>
      </c>
      <c r="U11" s="7">
        <v>10.758</v>
      </c>
      <c r="V11" s="7">
        <v>31.734</v>
      </c>
      <c r="W11" s="7" t="s">
        <v>43</v>
      </c>
      <c r="X11" s="7" t="s">
        <v>43</v>
      </c>
      <c r="Y11" s="7" t="s">
        <v>59</v>
      </c>
      <c r="Z11" s="7" t="s">
        <v>59</v>
      </c>
      <c r="AA11" s="7" t="s">
        <v>59</v>
      </c>
      <c r="AB11" s="7" t="s">
        <v>59</v>
      </c>
      <c r="AC11" s="7">
        <v>35.0</v>
      </c>
      <c r="AD11" s="7">
        <v>19.4</v>
      </c>
      <c r="AE11" s="7">
        <v>8.2</v>
      </c>
      <c r="AF11" s="7">
        <v>7.9</v>
      </c>
      <c r="AG11" s="7">
        <v>4.0</v>
      </c>
    </row>
    <row r="12">
      <c r="A12" s="7" t="s">
        <v>76</v>
      </c>
      <c r="B12" s="7" t="s">
        <v>77</v>
      </c>
      <c r="C12" s="7" t="s">
        <v>78</v>
      </c>
      <c r="D12" s="7" t="s">
        <v>79</v>
      </c>
      <c r="E12" s="8">
        <v>29.91</v>
      </c>
      <c r="F12" s="8">
        <v>46.18</v>
      </c>
      <c r="G12" s="7">
        <v>28.44</v>
      </c>
      <c r="H12" s="7">
        <v>2.5</v>
      </c>
      <c r="I12" s="7">
        <v>12.31</v>
      </c>
      <c r="J12" s="7" t="s">
        <v>51</v>
      </c>
      <c r="K12" s="9">
        <v>0.0308</v>
      </c>
      <c r="L12" s="9">
        <v>0.024</v>
      </c>
      <c r="M12" s="9">
        <v>0.0434</v>
      </c>
      <c r="N12" s="7">
        <v>3.73</v>
      </c>
      <c r="O12" s="7">
        <v>27.47</v>
      </c>
      <c r="P12" s="7">
        <v>26.72</v>
      </c>
      <c r="Q12" s="7">
        <v>23.14</v>
      </c>
      <c r="R12" s="7">
        <v>26.83</v>
      </c>
      <c r="S12" s="7">
        <v>5.5</v>
      </c>
      <c r="T12" s="7">
        <v>6.2</v>
      </c>
      <c r="U12" s="7">
        <v>5.48</v>
      </c>
      <c r="V12" s="7">
        <v>6.42</v>
      </c>
      <c r="W12" s="7" t="s">
        <v>34</v>
      </c>
      <c r="X12" s="7" t="s">
        <v>34</v>
      </c>
      <c r="Y12" s="7" t="s">
        <v>41</v>
      </c>
      <c r="Z12" s="7" t="s">
        <v>41</v>
      </c>
      <c r="AA12" s="7" t="s">
        <v>35</v>
      </c>
      <c r="AB12" s="7" t="s">
        <v>35</v>
      </c>
      <c r="AC12" s="7">
        <v>21.0</v>
      </c>
      <c r="AD12" s="7">
        <v>11.9</v>
      </c>
      <c r="AE12" s="7">
        <v>3.0</v>
      </c>
      <c r="AF12" s="7">
        <v>6.3</v>
      </c>
      <c r="AG12" s="7">
        <v>3.0</v>
      </c>
    </row>
    <row r="13">
      <c r="A13" s="7" t="s">
        <v>80</v>
      </c>
      <c r="B13" s="7" t="s">
        <v>81</v>
      </c>
      <c r="C13" s="7" t="s">
        <v>82</v>
      </c>
      <c r="D13" s="7" t="s">
        <v>33</v>
      </c>
      <c r="E13" s="8">
        <v>31.34</v>
      </c>
      <c r="F13" s="8">
        <v>123.25</v>
      </c>
      <c r="G13" s="7">
        <v>21.97</v>
      </c>
      <c r="H13" s="7">
        <v>0.058393</v>
      </c>
      <c r="I13" s="7">
        <v>12.4</v>
      </c>
      <c r="J13" s="9">
        <v>0.0365</v>
      </c>
      <c r="K13" s="9">
        <v>0.0664</v>
      </c>
      <c r="L13" s="9">
        <v>0.0508</v>
      </c>
      <c r="M13" s="9">
        <v>0.1219</v>
      </c>
      <c r="N13" s="7">
        <v>10.31</v>
      </c>
      <c r="O13" s="7">
        <v>22.03</v>
      </c>
      <c r="P13" s="7">
        <v>24.14</v>
      </c>
      <c r="Q13" s="7">
        <v>20.47</v>
      </c>
      <c r="R13" s="7">
        <v>23.8</v>
      </c>
      <c r="S13" s="7">
        <v>4.12</v>
      </c>
      <c r="T13" s="7">
        <v>4.76</v>
      </c>
      <c r="U13" s="7">
        <v>3.73</v>
      </c>
      <c r="V13" s="7" t="s">
        <v>41</v>
      </c>
      <c r="W13" s="7" t="s">
        <v>35</v>
      </c>
      <c r="X13" s="7" t="s">
        <v>34</v>
      </c>
      <c r="Y13" s="7" t="s">
        <v>83</v>
      </c>
      <c r="Z13" s="7" t="s">
        <v>44</v>
      </c>
      <c r="AA13" s="7" t="s">
        <v>35</v>
      </c>
      <c r="AB13" s="7" t="s">
        <v>43</v>
      </c>
      <c r="AC13" s="7">
        <v>13.0</v>
      </c>
      <c r="AD13" s="7">
        <v>3.0</v>
      </c>
      <c r="AE13" s="7">
        <v>4.2</v>
      </c>
      <c r="AF13" s="7">
        <v>5.4</v>
      </c>
      <c r="AG13" s="7">
        <v>2.0</v>
      </c>
    </row>
    <row r="14">
      <c r="A14" s="7" t="s">
        <v>84</v>
      </c>
      <c r="B14" s="7" t="s">
        <v>85</v>
      </c>
      <c r="C14" s="7" t="s">
        <v>86</v>
      </c>
      <c r="D14" s="7" t="s">
        <v>33</v>
      </c>
      <c r="E14" s="8">
        <v>1.97</v>
      </c>
      <c r="F14" s="8">
        <v>13.7</v>
      </c>
      <c r="G14" s="7">
        <v>15.51</v>
      </c>
      <c r="H14" s="7">
        <v>2.67</v>
      </c>
      <c r="I14" s="7" t="s">
        <v>41</v>
      </c>
      <c r="J14" s="7" t="s">
        <v>51</v>
      </c>
      <c r="K14" s="9">
        <v>0.0737</v>
      </c>
      <c r="L14" s="9">
        <v>0.0512</v>
      </c>
      <c r="M14" s="9">
        <v>0.1419</v>
      </c>
      <c r="N14" s="7">
        <v>-0.91</v>
      </c>
      <c r="O14" s="7">
        <v>7.15</v>
      </c>
      <c r="P14" s="7">
        <v>7.7</v>
      </c>
      <c r="Q14" s="7">
        <v>8.49</v>
      </c>
      <c r="R14" s="7">
        <v>1.64</v>
      </c>
      <c r="S14" s="7">
        <v>2.23</v>
      </c>
      <c r="T14" s="7">
        <v>1.66</v>
      </c>
      <c r="U14" s="7">
        <v>1.88</v>
      </c>
      <c r="V14" s="7" t="s">
        <v>41</v>
      </c>
      <c r="W14" s="7" t="s">
        <v>42</v>
      </c>
      <c r="X14" s="7" t="s">
        <v>43</v>
      </c>
      <c r="Y14" s="7" t="s">
        <v>41</v>
      </c>
      <c r="Z14" s="7" t="s">
        <v>41</v>
      </c>
      <c r="AA14" s="7" t="s">
        <v>41</v>
      </c>
      <c r="AB14" s="7" t="s">
        <v>41</v>
      </c>
      <c r="AC14" s="7">
        <v>30.0</v>
      </c>
      <c r="AD14" s="7">
        <v>8.8</v>
      </c>
      <c r="AE14" s="7">
        <v>15.3</v>
      </c>
      <c r="AF14" s="7">
        <v>5.4</v>
      </c>
      <c r="AG14" s="7">
        <v>3.0</v>
      </c>
    </row>
    <row r="15">
      <c r="A15" s="7" t="s">
        <v>87</v>
      </c>
      <c r="B15" s="7" t="s">
        <v>88</v>
      </c>
      <c r="C15" s="7" t="s">
        <v>89</v>
      </c>
      <c r="D15" s="7" t="s">
        <v>33</v>
      </c>
      <c r="E15" s="8">
        <v>2.9</v>
      </c>
      <c r="F15" s="8">
        <v>139.7</v>
      </c>
      <c r="G15" s="7">
        <v>2.73</v>
      </c>
      <c r="H15" s="7">
        <v>31.07</v>
      </c>
      <c r="I15" s="7">
        <v>12.08</v>
      </c>
      <c r="J15" s="9">
        <v>0.0308</v>
      </c>
      <c r="K15" s="9">
        <v>0.1656</v>
      </c>
      <c r="L15" s="9">
        <v>0.1101</v>
      </c>
      <c r="M15" s="9">
        <v>0.207</v>
      </c>
      <c r="N15" s="7">
        <v>11.55</v>
      </c>
      <c r="O15" s="7">
        <v>2.31</v>
      </c>
      <c r="P15" s="7">
        <v>2.33</v>
      </c>
      <c r="Q15" s="7">
        <v>2.18</v>
      </c>
      <c r="R15" s="7">
        <v>2.93</v>
      </c>
      <c r="S15" s="7">
        <v>0.25342</v>
      </c>
      <c r="T15" s="7">
        <v>0.23584</v>
      </c>
      <c r="U15" s="7">
        <v>0.23776</v>
      </c>
      <c r="V15" s="7">
        <v>0.42454</v>
      </c>
      <c r="W15" s="7" t="s">
        <v>59</v>
      </c>
      <c r="X15" s="7" t="s">
        <v>59</v>
      </c>
      <c r="Y15" s="7" t="s">
        <v>41</v>
      </c>
      <c r="Z15" s="7" t="s">
        <v>41</v>
      </c>
      <c r="AA15" s="7" t="s">
        <v>41</v>
      </c>
      <c r="AB15" s="7" t="s">
        <v>41</v>
      </c>
      <c r="AC15" s="7" t="s">
        <v>41</v>
      </c>
      <c r="AD15" s="7" t="s">
        <v>41</v>
      </c>
      <c r="AE15" s="7" t="s">
        <v>41</v>
      </c>
      <c r="AF15" s="7" t="s">
        <v>41</v>
      </c>
      <c r="AG15" s="7" t="s">
        <v>41</v>
      </c>
    </row>
    <row r="16">
      <c r="A16" s="7" t="s">
        <v>90</v>
      </c>
      <c r="B16" s="7" t="s">
        <v>91</v>
      </c>
      <c r="C16" s="7" t="s">
        <v>92</v>
      </c>
      <c r="D16" s="7" t="s">
        <v>33</v>
      </c>
      <c r="E16" s="8">
        <v>0.18</v>
      </c>
      <c r="F16" s="8">
        <v>14.16</v>
      </c>
      <c r="G16" s="7">
        <v>1.2</v>
      </c>
      <c r="H16" s="7">
        <v>0.101</v>
      </c>
      <c r="I16" s="7" t="s">
        <v>41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41</v>
      </c>
      <c r="O16" s="7">
        <v>1.29</v>
      </c>
      <c r="P16" s="7">
        <v>1.34</v>
      </c>
      <c r="Q16" s="7">
        <v>1.01</v>
      </c>
      <c r="R16" s="7">
        <v>1.23</v>
      </c>
      <c r="S16" s="7">
        <v>0.1536</v>
      </c>
      <c r="T16" s="7">
        <v>0.15511</v>
      </c>
      <c r="U16" s="7">
        <v>0.07146</v>
      </c>
      <c r="V16" s="7" t="s">
        <v>41</v>
      </c>
      <c r="W16" s="7" t="s">
        <v>59</v>
      </c>
      <c r="X16" s="7" t="s">
        <v>59</v>
      </c>
      <c r="Y16" s="7" t="s">
        <v>41</v>
      </c>
      <c r="Z16" s="7" t="s">
        <v>41</v>
      </c>
      <c r="AA16" s="7" t="s">
        <v>41</v>
      </c>
      <c r="AB16" s="7" t="s">
        <v>41</v>
      </c>
      <c r="AC16" s="7" t="s">
        <v>41</v>
      </c>
      <c r="AD16" s="7" t="s">
        <v>41</v>
      </c>
      <c r="AE16" s="7" t="s">
        <v>41</v>
      </c>
      <c r="AF16" s="7" t="s">
        <v>41</v>
      </c>
      <c r="AG16" s="7" t="s">
        <v>41</v>
      </c>
    </row>
    <row r="17">
      <c r="A17" s="7" t="s">
        <v>93</v>
      </c>
      <c r="B17" s="7" t="s">
        <v>94</v>
      </c>
      <c r="C17" s="7" t="s">
        <v>95</v>
      </c>
      <c r="D17" s="7" t="s">
        <v>33</v>
      </c>
      <c r="E17" s="8">
        <v>36.13</v>
      </c>
      <c r="F17" s="8">
        <v>57.88</v>
      </c>
      <c r="G17" s="7">
        <v>29.72</v>
      </c>
      <c r="H17" s="7">
        <v>1.46</v>
      </c>
      <c r="I17" s="7">
        <v>12.17</v>
      </c>
      <c r="J17" s="9">
        <v>0.0287</v>
      </c>
      <c r="K17" s="9">
        <v>0.0391</v>
      </c>
      <c r="L17" s="9">
        <v>0.0279</v>
      </c>
      <c r="M17" s="9">
        <v>0.0683</v>
      </c>
      <c r="N17" s="7">
        <v>4.79</v>
      </c>
      <c r="O17" s="7">
        <v>41.77</v>
      </c>
      <c r="P17" s="7">
        <v>42.57</v>
      </c>
      <c r="Q17" s="7">
        <v>38.13</v>
      </c>
      <c r="R17" s="7">
        <v>44.16</v>
      </c>
      <c r="S17" s="7">
        <v>5.08</v>
      </c>
      <c r="T17" s="7">
        <v>5.27</v>
      </c>
      <c r="U17" s="7">
        <v>4.74</v>
      </c>
      <c r="V17" s="7">
        <v>6.44</v>
      </c>
      <c r="W17" s="7" t="s">
        <v>35</v>
      </c>
      <c r="X17" s="7" t="s">
        <v>34</v>
      </c>
      <c r="Y17" s="7" t="s">
        <v>59</v>
      </c>
      <c r="Z17" s="7" t="s">
        <v>59</v>
      </c>
      <c r="AA17" s="7" t="s">
        <v>43</v>
      </c>
      <c r="AB17" s="7" t="s">
        <v>35</v>
      </c>
      <c r="AC17" s="7">
        <v>20.0</v>
      </c>
      <c r="AD17" s="7">
        <v>8.4</v>
      </c>
      <c r="AE17" s="7">
        <v>6.1</v>
      </c>
      <c r="AF17" s="7">
        <v>5.6</v>
      </c>
      <c r="AG17" s="7">
        <v>3.0</v>
      </c>
    </row>
    <row r="18">
      <c r="A18" s="7" t="s">
        <v>96</v>
      </c>
      <c r="B18" s="7" t="s">
        <v>97</v>
      </c>
      <c r="C18" s="7" t="s">
        <v>98</v>
      </c>
      <c r="D18" s="7" t="s">
        <v>33</v>
      </c>
      <c r="E18" s="8">
        <v>18.17</v>
      </c>
      <c r="F18" s="8">
        <v>36.92</v>
      </c>
      <c r="G18" s="7">
        <v>2.23</v>
      </c>
      <c r="H18" s="7">
        <v>0.09913</v>
      </c>
      <c r="I18" s="7">
        <v>5.2</v>
      </c>
      <c r="J18" s="9">
        <v>0.0286</v>
      </c>
      <c r="K18" s="9">
        <v>0.0446</v>
      </c>
      <c r="L18" s="9">
        <v>0.0276</v>
      </c>
      <c r="M18" s="9">
        <v>0.1079</v>
      </c>
      <c r="N18" s="7">
        <v>7.14</v>
      </c>
      <c r="O18" s="7">
        <v>4.31</v>
      </c>
      <c r="P18" s="7">
        <v>4.32</v>
      </c>
      <c r="Q18" s="7">
        <v>3.77</v>
      </c>
      <c r="R18" s="7">
        <v>4.84</v>
      </c>
      <c r="S18" s="7">
        <v>0.32685</v>
      </c>
      <c r="T18" s="7">
        <v>0.44446</v>
      </c>
      <c r="U18" s="7">
        <v>0.46045</v>
      </c>
      <c r="V18" s="7">
        <v>0.6433</v>
      </c>
      <c r="W18" s="7" t="s">
        <v>55</v>
      </c>
      <c r="X18" s="7" t="s">
        <v>55</v>
      </c>
      <c r="Y18" s="7" t="s">
        <v>41</v>
      </c>
      <c r="Z18" s="7" t="s">
        <v>41</v>
      </c>
      <c r="AA18" s="7" t="s">
        <v>41</v>
      </c>
      <c r="AB18" s="7" t="s">
        <v>41</v>
      </c>
      <c r="AC18" s="7" t="s">
        <v>41</v>
      </c>
      <c r="AD18" s="7" t="s">
        <v>41</v>
      </c>
      <c r="AE18" s="7" t="s">
        <v>41</v>
      </c>
      <c r="AF18" s="7" t="s">
        <v>41</v>
      </c>
      <c r="AG18" s="7" t="s">
        <v>41</v>
      </c>
    </row>
    <row r="19">
      <c r="A19" s="7" t="s">
        <v>99</v>
      </c>
      <c r="B19" s="7" t="s">
        <v>100</v>
      </c>
      <c r="C19" s="7" t="s">
        <v>101</v>
      </c>
      <c r="D19" s="7" t="s">
        <v>33</v>
      </c>
      <c r="E19" s="8">
        <v>23.35</v>
      </c>
      <c r="F19" s="8">
        <v>50.35</v>
      </c>
      <c r="G19" s="7">
        <v>1.24</v>
      </c>
      <c r="H19" s="7">
        <v>0.03112</v>
      </c>
      <c r="I19" s="7">
        <v>15.92</v>
      </c>
      <c r="J19" s="9">
        <v>0.0253</v>
      </c>
      <c r="K19" s="9">
        <v>0.0845</v>
      </c>
      <c r="L19" s="9">
        <v>0.0701</v>
      </c>
      <c r="M19" s="9">
        <v>0.1698</v>
      </c>
      <c r="N19" s="7">
        <v>2.97</v>
      </c>
      <c r="O19" s="7">
        <v>0.96256</v>
      </c>
      <c r="P19" s="7">
        <v>0.995134</v>
      </c>
      <c r="Q19" s="7">
        <v>0.92213</v>
      </c>
      <c r="R19" s="7">
        <v>0.93767</v>
      </c>
      <c r="S19" s="7">
        <v>0.18711</v>
      </c>
      <c r="T19" s="7">
        <v>0.17702</v>
      </c>
      <c r="U19" s="7">
        <v>0.14744</v>
      </c>
      <c r="V19" s="7">
        <v>0.018202</v>
      </c>
      <c r="W19" s="7" t="s">
        <v>41</v>
      </c>
      <c r="X19" s="7" t="s">
        <v>41</v>
      </c>
      <c r="Y19" s="7" t="s">
        <v>41</v>
      </c>
      <c r="Z19" s="7" t="s">
        <v>41</v>
      </c>
      <c r="AA19" s="7" t="s">
        <v>41</v>
      </c>
      <c r="AB19" s="7" t="s">
        <v>41</v>
      </c>
      <c r="AC19" s="7" t="s">
        <v>41</v>
      </c>
      <c r="AD19" s="7" t="s">
        <v>41</v>
      </c>
      <c r="AE19" s="7" t="s">
        <v>41</v>
      </c>
      <c r="AF19" s="7" t="s">
        <v>41</v>
      </c>
      <c r="AG19" s="7" t="s">
        <v>41</v>
      </c>
    </row>
    <row r="20">
      <c r="A20" s="7" t="s">
        <v>102</v>
      </c>
      <c r="B20" s="7" t="s">
        <v>103</v>
      </c>
      <c r="C20" s="7" t="s">
        <v>104</v>
      </c>
      <c r="D20" s="7" t="s">
        <v>33</v>
      </c>
      <c r="E20" s="8">
        <v>7.01</v>
      </c>
      <c r="F20" s="8">
        <v>2.83</v>
      </c>
      <c r="G20" s="7">
        <v>0.381</v>
      </c>
      <c r="H20" s="7">
        <v>0.22757</v>
      </c>
      <c r="I20" s="7">
        <v>11.16</v>
      </c>
      <c r="J20" s="7" t="s">
        <v>51</v>
      </c>
      <c r="K20" s="9">
        <v>0.039</v>
      </c>
      <c r="L20" s="9">
        <v>0.0261</v>
      </c>
      <c r="M20" s="9">
        <v>0.0568</v>
      </c>
      <c r="N20" s="7">
        <v>0.25</v>
      </c>
      <c r="O20" s="7">
        <v>0.67423</v>
      </c>
      <c r="P20" s="7">
        <v>0.63381</v>
      </c>
      <c r="Q20" s="7">
        <v>0.64219</v>
      </c>
      <c r="R20" s="7">
        <v>0.8381</v>
      </c>
      <c r="S20" s="7">
        <v>0.06996</v>
      </c>
      <c r="T20" s="7">
        <v>0.04619</v>
      </c>
      <c r="U20" s="7">
        <v>0.08</v>
      </c>
      <c r="V20" s="7">
        <v>0.08511</v>
      </c>
      <c r="W20" s="7" t="s">
        <v>59</v>
      </c>
      <c r="X20" s="7" t="s">
        <v>55</v>
      </c>
      <c r="Y20" s="7" t="s">
        <v>41</v>
      </c>
      <c r="Z20" s="7" t="s">
        <v>41</v>
      </c>
      <c r="AA20" s="7" t="s">
        <v>41</v>
      </c>
      <c r="AB20" s="7" t="s">
        <v>41</v>
      </c>
      <c r="AC20" s="7" t="s">
        <v>41</v>
      </c>
      <c r="AD20" s="7" t="s">
        <v>41</v>
      </c>
      <c r="AE20" s="7" t="s">
        <v>41</v>
      </c>
      <c r="AF20" s="7" t="s">
        <v>41</v>
      </c>
      <c r="AG20" s="7" t="s">
        <v>41</v>
      </c>
    </row>
    <row r="21">
      <c r="A21" s="7" t="s">
        <v>105</v>
      </c>
      <c r="B21" s="7" t="s">
        <v>106</v>
      </c>
      <c r="C21" s="7" t="s">
        <v>107</v>
      </c>
      <c r="D21" s="7" t="s">
        <v>33</v>
      </c>
      <c r="E21" s="8">
        <v>216.89</v>
      </c>
      <c r="F21" s="8">
        <v>240.0</v>
      </c>
      <c r="G21" s="7">
        <v>33.65</v>
      </c>
      <c r="H21" s="7">
        <v>0.498115</v>
      </c>
      <c r="I21" s="7">
        <v>11.47</v>
      </c>
      <c r="J21" s="9">
        <v>0.0458</v>
      </c>
      <c r="K21" s="7" t="s">
        <v>51</v>
      </c>
      <c r="L21" s="9">
        <v>0.0065</v>
      </c>
      <c r="M21" s="9">
        <v>0.0695</v>
      </c>
      <c r="N21" s="7">
        <v>20.94</v>
      </c>
      <c r="O21" s="7">
        <v>57.34</v>
      </c>
      <c r="P21" s="7">
        <v>64.85</v>
      </c>
      <c r="Q21" s="7">
        <v>66.44</v>
      </c>
      <c r="R21" s="7">
        <v>70.24</v>
      </c>
      <c r="S21" s="7" t="s">
        <v>41</v>
      </c>
      <c r="T21" s="7" t="s">
        <v>41</v>
      </c>
      <c r="U21" s="7" t="s">
        <v>41</v>
      </c>
      <c r="V21" s="7" t="s">
        <v>41</v>
      </c>
      <c r="W21" s="7" t="s">
        <v>43</v>
      </c>
      <c r="X21" s="7" t="s">
        <v>35</v>
      </c>
      <c r="Y21" s="7" t="s">
        <v>41</v>
      </c>
      <c r="Z21" s="7" t="s">
        <v>41</v>
      </c>
      <c r="AA21" s="7" t="s">
        <v>41</v>
      </c>
      <c r="AB21" s="7" t="s">
        <v>41</v>
      </c>
      <c r="AC21" s="7">
        <v>18.0</v>
      </c>
      <c r="AD21" s="7">
        <v>0.4</v>
      </c>
      <c r="AE21" s="7">
        <v>9.7</v>
      </c>
      <c r="AF21" s="7">
        <v>8.2</v>
      </c>
      <c r="AG21" s="7">
        <v>2.0</v>
      </c>
    </row>
    <row r="22">
      <c r="A22" s="7" t="s">
        <v>108</v>
      </c>
      <c r="B22" s="7" t="s">
        <v>109</v>
      </c>
      <c r="C22" s="7" t="s">
        <v>110</v>
      </c>
      <c r="D22" s="7" t="s">
        <v>33</v>
      </c>
      <c r="E22" s="8">
        <v>74.0</v>
      </c>
      <c r="F22" s="8">
        <v>145.15</v>
      </c>
      <c r="G22" s="7">
        <v>21.86</v>
      </c>
      <c r="H22" s="7">
        <v>0.24999</v>
      </c>
      <c r="I22" s="7" t="s">
        <v>41</v>
      </c>
      <c r="J22" s="7" t="s">
        <v>51</v>
      </c>
      <c r="K22" s="9">
        <v>0.0551</v>
      </c>
      <c r="L22" s="9">
        <v>0.0488</v>
      </c>
      <c r="M22" s="9">
        <v>0.1281</v>
      </c>
      <c r="N22" s="7">
        <v>-0.4</v>
      </c>
      <c r="O22" s="7">
        <v>4.2</v>
      </c>
      <c r="P22" s="7">
        <v>4.44</v>
      </c>
      <c r="Q22" s="7">
        <v>2.18</v>
      </c>
      <c r="R22" s="7">
        <v>2.32</v>
      </c>
      <c r="S22" s="7">
        <v>2.62</v>
      </c>
      <c r="T22" s="7">
        <v>2.75</v>
      </c>
      <c r="U22" s="7">
        <v>0.85121</v>
      </c>
      <c r="V22" s="7">
        <v>0.8224</v>
      </c>
      <c r="W22" s="7" t="s">
        <v>34</v>
      </c>
      <c r="X22" s="7" t="s">
        <v>43</v>
      </c>
      <c r="Y22" s="7" t="s">
        <v>41</v>
      </c>
      <c r="Z22" s="7" t="s">
        <v>41</v>
      </c>
      <c r="AA22" s="7" t="s">
        <v>41</v>
      </c>
      <c r="AB22" s="7" t="s">
        <v>41</v>
      </c>
      <c r="AC22" s="7">
        <v>11.0</v>
      </c>
      <c r="AD22" s="7">
        <v>2.3</v>
      </c>
      <c r="AE22" s="7">
        <v>4.1</v>
      </c>
      <c r="AF22" s="7">
        <v>4.8</v>
      </c>
      <c r="AG22" s="7">
        <v>0.0</v>
      </c>
    </row>
    <row r="23">
      <c r="A23" s="7" t="s">
        <v>111</v>
      </c>
      <c r="B23" s="7" t="s">
        <v>112</v>
      </c>
      <c r="C23" s="7" t="s">
        <v>113</v>
      </c>
      <c r="D23" s="7" t="s">
        <v>33</v>
      </c>
      <c r="E23" s="8">
        <v>9.35</v>
      </c>
      <c r="F23" s="8">
        <v>10.1</v>
      </c>
      <c r="G23" s="7">
        <v>1.32</v>
      </c>
      <c r="H23" s="7">
        <v>0.10593</v>
      </c>
      <c r="I23" s="7">
        <v>17.88</v>
      </c>
      <c r="J23" s="7" t="s">
        <v>51</v>
      </c>
      <c r="K23" s="9">
        <v>0.1434</v>
      </c>
      <c r="L23" s="9">
        <v>0.0938</v>
      </c>
      <c r="M23" s="9">
        <v>0.1734</v>
      </c>
      <c r="N23" s="7">
        <v>0.48</v>
      </c>
      <c r="O23" s="7">
        <v>0.76312</v>
      </c>
      <c r="P23" s="7">
        <v>0.78106</v>
      </c>
      <c r="Q23" s="7">
        <v>0.74011</v>
      </c>
      <c r="R23" s="7">
        <v>0.83782</v>
      </c>
      <c r="S23" s="7">
        <v>0.12629</v>
      </c>
      <c r="T23" s="7">
        <v>0.1182</v>
      </c>
      <c r="U23" s="7">
        <v>0.10929</v>
      </c>
      <c r="V23" s="7" t="s">
        <v>41</v>
      </c>
      <c r="W23" s="7" t="s">
        <v>36</v>
      </c>
      <c r="X23" s="7" t="s">
        <v>114</v>
      </c>
      <c r="Y23" s="7" t="s">
        <v>59</v>
      </c>
      <c r="Z23" s="7" t="s">
        <v>59</v>
      </c>
      <c r="AA23" s="7" t="s">
        <v>36</v>
      </c>
      <c r="AB23" s="7" t="s">
        <v>36</v>
      </c>
      <c r="AC23" s="7" t="s">
        <v>41</v>
      </c>
      <c r="AD23" s="7" t="s">
        <v>41</v>
      </c>
      <c r="AE23" s="7" t="s">
        <v>41</v>
      </c>
      <c r="AF23" s="7" t="s">
        <v>41</v>
      </c>
      <c r="AG23" s="7" t="s">
        <v>41</v>
      </c>
    </row>
    <row r="24">
      <c r="A24" s="7" t="s">
        <v>115</v>
      </c>
      <c r="B24" s="7" t="s">
        <v>116</v>
      </c>
      <c r="C24" s="7" t="s">
        <v>117</v>
      </c>
      <c r="D24" s="7" t="s">
        <v>33</v>
      </c>
      <c r="E24" s="8">
        <v>7.19</v>
      </c>
      <c r="F24" s="8">
        <v>94.04</v>
      </c>
      <c r="G24" s="7">
        <v>119.47</v>
      </c>
      <c r="H24" s="7">
        <v>3.01</v>
      </c>
      <c r="I24" s="7">
        <v>19.08</v>
      </c>
      <c r="J24" s="9">
        <v>0.0353</v>
      </c>
      <c r="K24" s="9">
        <v>0.0623</v>
      </c>
      <c r="L24" s="9">
        <v>0.0519</v>
      </c>
      <c r="M24" s="9">
        <v>0.0975</v>
      </c>
      <c r="N24" s="7">
        <v>4.97</v>
      </c>
      <c r="O24" s="7">
        <v>34.46</v>
      </c>
      <c r="P24" s="7">
        <v>36.13</v>
      </c>
      <c r="Q24" s="7">
        <v>36.04</v>
      </c>
      <c r="R24" s="7">
        <v>37.76</v>
      </c>
      <c r="S24" s="7">
        <v>8.55</v>
      </c>
      <c r="T24" s="7">
        <v>9.82</v>
      </c>
      <c r="U24" s="7">
        <v>10.54</v>
      </c>
      <c r="V24" s="7">
        <v>11.8</v>
      </c>
      <c r="W24" s="7" t="s">
        <v>35</v>
      </c>
      <c r="X24" s="7" t="s">
        <v>34</v>
      </c>
      <c r="Y24" s="7" t="s">
        <v>59</v>
      </c>
      <c r="Z24" s="7" t="s">
        <v>59</v>
      </c>
      <c r="AA24" s="7" t="s">
        <v>34</v>
      </c>
      <c r="AB24" s="7" t="s">
        <v>34</v>
      </c>
      <c r="AC24" s="7">
        <v>23.0</v>
      </c>
      <c r="AD24" s="7">
        <v>1.6</v>
      </c>
      <c r="AE24" s="7">
        <v>13.4</v>
      </c>
      <c r="AF24" s="7">
        <v>7.9</v>
      </c>
      <c r="AG24" s="7">
        <v>4.0</v>
      </c>
    </row>
    <row r="25">
      <c r="A25" s="7" t="s">
        <v>118</v>
      </c>
      <c r="B25" s="7" t="s">
        <v>119</v>
      </c>
      <c r="C25" s="7" t="s">
        <v>120</v>
      </c>
      <c r="D25" s="7" t="s">
        <v>33</v>
      </c>
      <c r="E25" s="8">
        <v>1.88</v>
      </c>
      <c r="F25" s="8">
        <v>28.28</v>
      </c>
      <c r="G25" s="7">
        <v>24.091</v>
      </c>
      <c r="H25" s="7">
        <v>3.85</v>
      </c>
      <c r="I25" s="7">
        <v>7.58</v>
      </c>
      <c r="J25" s="9">
        <v>0.0304</v>
      </c>
      <c r="K25" s="9">
        <v>0.0501</v>
      </c>
      <c r="L25" s="9">
        <v>0.0359</v>
      </c>
      <c r="M25" s="9">
        <v>0.0757</v>
      </c>
      <c r="N25" s="7">
        <v>0.67</v>
      </c>
      <c r="O25" s="7">
        <v>18.12</v>
      </c>
      <c r="P25" s="7">
        <v>19.48</v>
      </c>
      <c r="Q25" s="7">
        <v>17.31</v>
      </c>
      <c r="R25" s="7">
        <v>17.16</v>
      </c>
      <c r="S25" s="7">
        <v>3.08</v>
      </c>
      <c r="T25" s="7">
        <v>3.43</v>
      </c>
      <c r="U25" s="7">
        <v>2.87</v>
      </c>
      <c r="V25" s="7">
        <v>1.85</v>
      </c>
      <c r="W25" s="7" t="s">
        <v>34</v>
      </c>
      <c r="X25" s="7" t="s">
        <v>34</v>
      </c>
      <c r="Y25" s="7" t="s">
        <v>41</v>
      </c>
      <c r="Z25" s="7" t="s">
        <v>41</v>
      </c>
      <c r="AA25" s="7" t="s">
        <v>35</v>
      </c>
      <c r="AB25" s="7" t="s">
        <v>35</v>
      </c>
      <c r="AC25" s="7">
        <v>23.0</v>
      </c>
      <c r="AD25" s="7">
        <v>0.9</v>
      </c>
      <c r="AE25" s="7">
        <v>14.1</v>
      </c>
      <c r="AF25" s="7">
        <v>8.5</v>
      </c>
      <c r="AG25" s="7">
        <v>4.0</v>
      </c>
    </row>
    <row r="26">
      <c r="A26" s="7" t="s">
        <v>121</v>
      </c>
      <c r="B26" s="7" t="s">
        <v>122</v>
      </c>
      <c r="C26" s="7" t="s">
        <v>123</v>
      </c>
      <c r="D26" s="7" t="s">
        <v>124</v>
      </c>
      <c r="E26" s="8">
        <v>367.36</v>
      </c>
      <c r="F26" s="8">
        <v>207.0</v>
      </c>
      <c r="G26" s="7">
        <v>4.46</v>
      </c>
      <c r="H26" s="7">
        <v>6.64</v>
      </c>
      <c r="I26" s="7">
        <v>4.45</v>
      </c>
      <c r="J26" s="9">
        <v>0.0718</v>
      </c>
      <c r="K26" s="9">
        <v>0.0051</v>
      </c>
      <c r="L26" s="9">
        <v>0.0049</v>
      </c>
      <c r="M26" s="9">
        <v>0.0456</v>
      </c>
      <c r="N26" s="7">
        <v>0.47</v>
      </c>
      <c r="O26" s="7">
        <v>2.17</v>
      </c>
      <c r="P26" s="7">
        <v>2.45</v>
      </c>
      <c r="Q26" s="7">
        <v>1.64</v>
      </c>
      <c r="R26" s="7">
        <v>1.8</v>
      </c>
      <c r="S26" s="7" t="s">
        <v>41</v>
      </c>
      <c r="T26" s="7" t="s">
        <v>41</v>
      </c>
      <c r="U26" s="7" t="s">
        <v>41</v>
      </c>
      <c r="V26" s="7" t="s">
        <v>41</v>
      </c>
      <c r="W26" s="7" t="s">
        <v>43</v>
      </c>
      <c r="X26" s="7" t="s">
        <v>52</v>
      </c>
      <c r="Y26" s="7" t="s">
        <v>41</v>
      </c>
      <c r="Z26" s="7" t="s">
        <v>41</v>
      </c>
      <c r="AA26" s="7" t="s">
        <v>41</v>
      </c>
      <c r="AB26" s="7" t="s">
        <v>41</v>
      </c>
      <c r="AC26" s="7">
        <v>17.0</v>
      </c>
      <c r="AD26" s="7">
        <v>1.4</v>
      </c>
      <c r="AE26" s="7">
        <v>8.9</v>
      </c>
      <c r="AF26" s="7">
        <v>6.9</v>
      </c>
      <c r="AG26" s="7">
        <v>2.0</v>
      </c>
    </row>
    <row r="27">
      <c r="A27" s="7" t="s">
        <v>125</v>
      </c>
      <c r="B27" s="7" t="s">
        <v>126</v>
      </c>
      <c r="C27" s="7" t="s">
        <v>127</v>
      </c>
      <c r="D27" s="7" t="s">
        <v>79</v>
      </c>
      <c r="E27" s="8">
        <v>77.36</v>
      </c>
      <c r="F27" s="8">
        <v>366.7</v>
      </c>
      <c r="G27" s="7">
        <v>319.066</v>
      </c>
      <c r="H27" s="7">
        <v>0.358</v>
      </c>
      <c r="I27" s="7">
        <v>22.74</v>
      </c>
      <c r="J27" s="9">
        <v>0.0254</v>
      </c>
      <c r="K27" s="9">
        <v>0.2377</v>
      </c>
      <c r="L27" s="9">
        <v>0.1562</v>
      </c>
      <c r="M27" s="9">
        <v>0.4135</v>
      </c>
      <c r="N27" s="7">
        <v>16.39</v>
      </c>
      <c r="O27" s="7">
        <v>56.85</v>
      </c>
      <c r="P27" s="7">
        <v>61.47</v>
      </c>
      <c r="Q27" s="7">
        <v>58.32</v>
      </c>
      <c r="R27" s="7">
        <v>62.8</v>
      </c>
      <c r="S27" s="7">
        <v>20.31</v>
      </c>
      <c r="T27" s="7">
        <v>23.21</v>
      </c>
      <c r="U27" s="7">
        <v>22.29</v>
      </c>
      <c r="V27" s="7">
        <v>21.73</v>
      </c>
      <c r="W27" s="7" t="s">
        <v>36</v>
      </c>
      <c r="X27" s="7" t="s">
        <v>36</v>
      </c>
      <c r="Y27" s="7" t="s">
        <v>36</v>
      </c>
      <c r="Z27" s="7" t="s">
        <v>36</v>
      </c>
      <c r="AA27" s="7" t="s">
        <v>36</v>
      </c>
      <c r="AB27" s="7" t="s">
        <v>36</v>
      </c>
      <c r="AC27" s="7">
        <v>21.0</v>
      </c>
      <c r="AD27" s="7">
        <v>0.9</v>
      </c>
      <c r="AE27" s="7">
        <v>12.5</v>
      </c>
      <c r="AF27" s="7">
        <v>7.7</v>
      </c>
      <c r="AG27" s="7">
        <v>2.0</v>
      </c>
    </row>
    <row r="28">
      <c r="A28" s="7" t="s">
        <v>128</v>
      </c>
      <c r="B28" s="7" t="s">
        <v>129</v>
      </c>
      <c r="C28" s="7" t="s">
        <v>130</v>
      </c>
      <c r="D28" s="7" t="s">
        <v>33</v>
      </c>
      <c r="E28" s="8">
        <v>9.35</v>
      </c>
      <c r="F28" s="8">
        <v>10.72</v>
      </c>
      <c r="G28" s="7">
        <v>2.73</v>
      </c>
      <c r="H28" s="7">
        <v>1.5</v>
      </c>
      <c r="I28" s="7">
        <v>4.86</v>
      </c>
      <c r="J28" s="9">
        <v>0.0483</v>
      </c>
      <c r="K28" s="9">
        <v>0.0605</v>
      </c>
      <c r="L28" s="9">
        <v>0.0427</v>
      </c>
      <c r="M28" s="9">
        <v>0.1085</v>
      </c>
      <c r="N28" s="7">
        <v>2.11</v>
      </c>
      <c r="O28" s="7">
        <v>5.01</v>
      </c>
      <c r="P28" s="7">
        <v>4.75</v>
      </c>
      <c r="Q28" s="7">
        <v>4.67</v>
      </c>
      <c r="R28" s="7">
        <v>6.71</v>
      </c>
      <c r="S28" s="7">
        <v>0.47354</v>
      </c>
      <c r="T28" s="7">
        <v>0.37438</v>
      </c>
      <c r="U28" s="7">
        <v>0.39784</v>
      </c>
      <c r="V28" s="7">
        <v>0.98581</v>
      </c>
      <c r="W28" s="7" t="s">
        <v>43</v>
      </c>
      <c r="X28" s="7" t="s">
        <v>43</v>
      </c>
      <c r="Y28" s="7" t="s">
        <v>41</v>
      </c>
      <c r="Z28" s="7" t="s">
        <v>41</v>
      </c>
      <c r="AA28" s="7" t="s">
        <v>59</v>
      </c>
      <c r="AB28" s="7" t="s">
        <v>114</v>
      </c>
      <c r="AC28" s="7" t="s">
        <v>41</v>
      </c>
      <c r="AD28" s="7" t="s">
        <v>41</v>
      </c>
      <c r="AE28" s="7" t="s">
        <v>41</v>
      </c>
      <c r="AF28" s="7" t="s">
        <v>41</v>
      </c>
      <c r="AG28" s="7" t="s">
        <v>41</v>
      </c>
    </row>
    <row r="29">
      <c r="A29" s="7" t="s">
        <v>131</v>
      </c>
      <c r="B29" s="7" t="s">
        <v>132</v>
      </c>
      <c r="C29" s="7" t="s">
        <v>133</v>
      </c>
      <c r="D29" s="7" t="s">
        <v>33</v>
      </c>
      <c r="E29" s="8">
        <v>11.8</v>
      </c>
      <c r="F29" s="8">
        <v>28.05</v>
      </c>
      <c r="G29" s="7">
        <v>3.55</v>
      </c>
      <c r="H29" s="7">
        <v>0.394</v>
      </c>
      <c r="I29" s="7">
        <v>16.65</v>
      </c>
      <c r="J29" s="9">
        <v>0.0442</v>
      </c>
      <c r="K29" s="9">
        <v>0.0684</v>
      </c>
      <c r="L29" s="9">
        <v>0.0582</v>
      </c>
      <c r="M29" s="9">
        <v>0.1124</v>
      </c>
      <c r="N29" s="7">
        <v>1.71</v>
      </c>
      <c r="O29" s="7">
        <v>1.25</v>
      </c>
      <c r="P29" s="7">
        <v>1.25</v>
      </c>
      <c r="Q29" s="7">
        <v>1.19</v>
      </c>
      <c r="R29" s="7">
        <v>1.23</v>
      </c>
      <c r="S29" s="7">
        <v>0.6393</v>
      </c>
      <c r="T29" s="7">
        <v>0.7025</v>
      </c>
      <c r="U29" s="7">
        <v>0.6535</v>
      </c>
      <c r="V29" s="7">
        <v>0.67</v>
      </c>
      <c r="W29" s="7" t="s">
        <v>59</v>
      </c>
      <c r="X29" s="7" t="s">
        <v>52</v>
      </c>
      <c r="Y29" s="7" t="s">
        <v>41</v>
      </c>
      <c r="Z29" s="7" t="s">
        <v>41</v>
      </c>
      <c r="AA29" s="7" t="s">
        <v>59</v>
      </c>
      <c r="AB29" s="7" t="s">
        <v>52</v>
      </c>
      <c r="AC29" s="7">
        <v>23.0</v>
      </c>
      <c r="AD29" s="7">
        <v>10.6</v>
      </c>
      <c r="AE29" s="7">
        <v>8.7</v>
      </c>
      <c r="AF29" s="7">
        <v>3.8</v>
      </c>
      <c r="AG29" s="7">
        <v>1.0</v>
      </c>
    </row>
    <row r="30">
      <c r="A30" s="7" t="s">
        <v>134</v>
      </c>
      <c r="B30" s="7" t="s">
        <v>135</v>
      </c>
      <c r="C30" s="7" t="s">
        <v>136</v>
      </c>
      <c r="D30" s="7" t="s">
        <v>40</v>
      </c>
      <c r="E30" s="8">
        <v>6.31</v>
      </c>
      <c r="F30" s="8">
        <v>90.27</v>
      </c>
      <c r="G30" s="7">
        <v>30.43</v>
      </c>
      <c r="H30" s="7">
        <v>1.64</v>
      </c>
      <c r="I30" s="7">
        <v>16.93</v>
      </c>
      <c r="J30" s="7" t="s">
        <v>51</v>
      </c>
      <c r="K30" s="9">
        <v>0.1315</v>
      </c>
      <c r="L30" s="9">
        <v>0.0767</v>
      </c>
      <c r="M30" s="9">
        <v>0.2057</v>
      </c>
      <c r="N30" s="7">
        <v>5.48</v>
      </c>
      <c r="O30" s="7">
        <v>21.34</v>
      </c>
      <c r="P30" s="7">
        <v>23.89</v>
      </c>
      <c r="Q30" s="7">
        <v>23.83</v>
      </c>
      <c r="R30" s="7">
        <v>27.75</v>
      </c>
      <c r="S30" s="7" t="s">
        <v>41</v>
      </c>
      <c r="T30" s="7" t="s">
        <v>41</v>
      </c>
      <c r="U30" s="7" t="s">
        <v>41</v>
      </c>
      <c r="V30" s="7" t="s">
        <v>41</v>
      </c>
      <c r="W30" s="7" t="s">
        <v>42</v>
      </c>
      <c r="X30" s="7" t="s">
        <v>43</v>
      </c>
      <c r="Y30" s="7" t="s">
        <v>41</v>
      </c>
      <c r="Z30" s="7" t="s">
        <v>41</v>
      </c>
      <c r="AA30" s="7" t="s">
        <v>41</v>
      </c>
      <c r="AB30" s="7" t="s">
        <v>41</v>
      </c>
      <c r="AC30" s="7">
        <v>7.0</v>
      </c>
      <c r="AD30" s="7">
        <v>1.3</v>
      </c>
      <c r="AE30" s="7">
        <v>2.5</v>
      </c>
      <c r="AF30" s="7">
        <v>3.2</v>
      </c>
      <c r="AG30" s="7">
        <v>1.0</v>
      </c>
    </row>
    <row r="31">
      <c r="A31" s="7" t="s">
        <v>137</v>
      </c>
      <c r="B31" s="7" t="s">
        <v>138</v>
      </c>
      <c r="C31" s="7" t="s">
        <v>139</v>
      </c>
      <c r="D31" s="7" t="s">
        <v>40</v>
      </c>
      <c r="E31" s="8">
        <v>0.47</v>
      </c>
      <c r="F31" s="8">
        <v>108.97</v>
      </c>
      <c r="G31" s="7">
        <v>144.46</v>
      </c>
      <c r="H31" s="7">
        <v>6.76</v>
      </c>
      <c r="I31" s="7">
        <v>29.67</v>
      </c>
      <c r="J31" s="9">
        <v>0.0232</v>
      </c>
      <c r="K31" s="9">
        <v>0.0536</v>
      </c>
      <c r="L31" s="9">
        <v>0.0477</v>
      </c>
      <c r="M31" s="9">
        <v>0.0879</v>
      </c>
      <c r="N31" s="7">
        <v>2.6</v>
      </c>
      <c r="O31" s="7">
        <v>29.95</v>
      </c>
      <c r="P31" s="7">
        <v>30.56</v>
      </c>
      <c r="Q31" s="7">
        <v>28.91</v>
      </c>
      <c r="R31" s="7">
        <v>30.12</v>
      </c>
      <c r="S31" s="7">
        <v>9.29</v>
      </c>
      <c r="T31" s="7">
        <v>9.76</v>
      </c>
      <c r="U31" s="7">
        <v>8.28</v>
      </c>
      <c r="V31" s="7">
        <v>8.24</v>
      </c>
      <c r="W31" s="7" t="s">
        <v>43</v>
      </c>
      <c r="X31" s="7" t="s">
        <v>43</v>
      </c>
      <c r="Y31" s="7" t="s">
        <v>41</v>
      </c>
      <c r="Z31" s="7" t="s">
        <v>41</v>
      </c>
      <c r="AA31" s="7" t="s">
        <v>42</v>
      </c>
      <c r="AB31" s="7" t="s">
        <v>42</v>
      </c>
      <c r="AC31" s="7">
        <v>23.0</v>
      </c>
      <c r="AD31" s="7">
        <v>2.3</v>
      </c>
      <c r="AE31" s="7">
        <v>13.4</v>
      </c>
      <c r="AF31" s="7">
        <v>7.7</v>
      </c>
      <c r="AG31" s="7">
        <v>3.0</v>
      </c>
    </row>
    <row r="32">
      <c r="A32" s="7" t="s">
        <v>140</v>
      </c>
      <c r="B32" s="7" t="s">
        <v>141</v>
      </c>
      <c r="C32" s="7" t="s">
        <v>142</v>
      </c>
      <c r="D32" s="7" t="s">
        <v>33</v>
      </c>
      <c r="E32" s="8">
        <v>23.21</v>
      </c>
      <c r="F32" s="8">
        <v>54.44</v>
      </c>
      <c r="G32" s="7">
        <v>108.44</v>
      </c>
      <c r="H32" s="7">
        <v>2.1</v>
      </c>
      <c r="I32" s="7">
        <v>26.0</v>
      </c>
      <c r="J32" s="9">
        <v>0.0092</v>
      </c>
      <c r="K32" s="9">
        <v>0.0317</v>
      </c>
      <c r="L32" s="9">
        <v>0.0258</v>
      </c>
      <c r="M32" s="9">
        <v>0.0697</v>
      </c>
      <c r="N32" s="7">
        <v>2.11</v>
      </c>
      <c r="O32" s="7">
        <v>54.619</v>
      </c>
      <c r="P32" s="7">
        <v>52.329</v>
      </c>
      <c r="Q32" s="7">
        <v>46.881</v>
      </c>
      <c r="R32" s="7">
        <v>54.304</v>
      </c>
      <c r="S32" s="7">
        <v>22.08</v>
      </c>
      <c r="T32" s="7">
        <v>21.078</v>
      </c>
      <c r="U32" s="7">
        <v>17.321</v>
      </c>
      <c r="V32" s="7">
        <v>19.209</v>
      </c>
      <c r="W32" s="7" t="s">
        <v>34</v>
      </c>
      <c r="X32" s="7" t="s">
        <v>35</v>
      </c>
      <c r="Y32" s="7" t="s">
        <v>41</v>
      </c>
      <c r="Z32" s="7" t="s">
        <v>41</v>
      </c>
      <c r="AA32" s="7" t="s">
        <v>34</v>
      </c>
      <c r="AB32" s="7" t="s">
        <v>34</v>
      </c>
      <c r="AC32" s="7">
        <v>21.0</v>
      </c>
      <c r="AD32" s="7">
        <v>5.9</v>
      </c>
      <c r="AE32" s="7">
        <v>7.7</v>
      </c>
      <c r="AF32" s="7">
        <v>7.5</v>
      </c>
      <c r="AG32" s="7">
        <v>3.0</v>
      </c>
    </row>
    <row r="33">
      <c r="A33" s="7" t="s">
        <v>143</v>
      </c>
      <c r="B33" s="7" t="s">
        <v>144</v>
      </c>
      <c r="C33" s="7" t="s">
        <v>145</v>
      </c>
      <c r="D33" s="7" t="s">
        <v>146</v>
      </c>
      <c r="E33" s="8">
        <v>10700.0</v>
      </c>
      <c r="F33" s="8">
        <v>21340.0</v>
      </c>
      <c r="G33" s="7">
        <v>4216.0</v>
      </c>
      <c r="H33" s="7">
        <v>8.12E-4</v>
      </c>
      <c r="I33" s="7">
        <v>26.78</v>
      </c>
      <c r="J33" s="9">
        <v>0.0236</v>
      </c>
      <c r="K33" s="9">
        <v>0.0871</v>
      </c>
      <c r="L33" s="9">
        <v>0.0795</v>
      </c>
      <c r="M33" s="9">
        <v>0.0902</v>
      </c>
      <c r="N33" s="7">
        <v>490.1</v>
      </c>
      <c r="O33" s="7">
        <v>726.6</v>
      </c>
      <c r="P33" s="7">
        <v>635.57</v>
      </c>
      <c r="Q33" s="7">
        <v>508.25</v>
      </c>
      <c r="R33" s="7">
        <v>551.29</v>
      </c>
      <c r="S33" s="7">
        <v>263.79</v>
      </c>
      <c r="T33" s="7">
        <v>203.01</v>
      </c>
      <c r="U33" s="7">
        <v>134.26</v>
      </c>
      <c r="V33" s="7">
        <v>157.62</v>
      </c>
      <c r="W33" s="7" t="s">
        <v>43</v>
      </c>
      <c r="X33" s="7" t="s">
        <v>43</v>
      </c>
      <c r="Y33" s="7" t="s">
        <v>41</v>
      </c>
      <c r="Z33" s="7" t="s">
        <v>41</v>
      </c>
      <c r="AA33" s="7" t="s">
        <v>43</v>
      </c>
      <c r="AB33" s="7" t="s">
        <v>43</v>
      </c>
      <c r="AC33" s="7">
        <v>26.0</v>
      </c>
      <c r="AD33" s="7">
        <v>7.4</v>
      </c>
      <c r="AE33" s="7">
        <v>10.6</v>
      </c>
      <c r="AF33" s="7">
        <v>7.9</v>
      </c>
      <c r="AG33" s="7">
        <v>1.0</v>
      </c>
    </row>
    <row r="34">
      <c r="A34" s="7" t="s">
        <v>147</v>
      </c>
      <c r="B34" s="7" t="s">
        <v>148</v>
      </c>
      <c r="C34" s="7" t="s">
        <v>149</v>
      </c>
      <c r="D34" s="7" t="s">
        <v>33</v>
      </c>
      <c r="E34" s="8">
        <v>19.1</v>
      </c>
      <c r="F34" s="8">
        <v>9.9</v>
      </c>
      <c r="G34" s="7">
        <v>1.99</v>
      </c>
      <c r="H34" s="7">
        <v>0.6596</v>
      </c>
      <c r="I34" s="7" t="s">
        <v>41</v>
      </c>
      <c r="J34" s="9">
        <v>0.0107</v>
      </c>
      <c r="K34" s="9">
        <v>0.0081</v>
      </c>
      <c r="L34" s="9">
        <v>0.0076</v>
      </c>
      <c r="M34" s="9">
        <v>0.0129</v>
      </c>
      <c r="N34" s="7">
        <v>-1.53</v>
      </c>
      <c r="O34" s="7">
        <v>0.6</v>
      </c>
      <c r="P34" s="7">
        <v>0.932</v>
      </c>
      <c r="Q34" s="7">
        <v>1.231</v>
      </c>
      <c r="R34" s="7">
        <v>0.42</v>
      </c>
      <c r="S34" s="7">
        <v>0.18</v>
      </c>
      <c r="T34" s="7">
        <v>0.515</v>
      </c>
      <c r="U34" s="7">
        <v>0.831</v>
      </c>
      <c r="V34" s="7">
        <v>0.0484</v>
      </c>
      <c r="W34" s="7" t="s">
        <v>43</v>
      </c>
      <c r="X34" s="7" t="s">
        <v>43</v>
      </c>
      <c r="Y34" s="7" t="s">
        <v>41</v>
      </c>
      <c r="Z34" s="7" t="s">
        <v>41</v>
      </c>
      <c r="AA34" s="7" t="s">
        <v>41</v>
      </c>
      <c r="AB34" s="7" t="s">
        <v>41</v>
      </c>
      <c r="AC34" s="7" t="s">
        <v>41</v>
      </c>
      <c r="AD34" s="7" t="s">
        <v>41</v>
      </c>
      <c r="AE34" s="7" t="s">
        <v>41</v>
      </c>
      <c r="AF34" s="7" t="s">
        <v>41</v>
      </c>
      <c r="AG34" s="7" t="s">
        <v>41</v>
      </c>
    </row>
    <row r="35">
      <c r="A35" s="7" t="s">
        <v>150</v>
      </c>
      <c r="B35" s="7" t="s">
        <v>151</v>
      </c>
      <c r="C35" s="7" t="s">
        <v>152</v>
      </c>
      <c r="D35" s="7" t="s">
        <v>33</v>
      </c>
      <c r="E35" s="8">
        <v>167.5</v>
      </c>
      <c r="F35" s="8">
        <v>10.69</v>
      </c>
      <c r="G35" s="7">
        <v>28.34</v>
      </c>
      <c r="H35" s="7">
        <v>9.43</v>
      </c>
      <c r="I35" s="7">
        <v>3554.0</v>
      </c>
      <c r="J35" s="9">
        <v>0.0658</v>
      </c>
      <c r="K35" s="9">
        <v>0.0375</v>
      </c>
      <c r="L35" s="9">
        <v>0.026</v>
      </c>
      <c r="M35" s="9">
        <v>0.066</v>
      </c>
      <c r="N35" s="7" t="s">
        <v>41</v>
      </c>
      <c r="O35" s="7">
        <v>41.38</v>
      </c>
      <c r="P35" s="7">
        <v>42.24</v>
      </c>
      <c r="Q35" s="7">
        <v>42.27</v>
      </c>
      <c r="R35" s="7">
        <v>42.52</v>
      </c>
      <c r="S35" s="7">
        <v>11.59</v>
      </c>
      <c r="T35" s="7">
        <v>13.6</v>
      </c>
      <c r="U35" s="7">
        <v>13.64</v>
      </c>
      <c r="V35" s="7">
        <v>12.31</v>
      </c>
      <c r="W35" s="7" t="s">
        <v>43</v>
      </c>
      <c r="X35" s="7" t="s">
        <v>35</v>
      </c>
      <c r="Y35" s="7" t="s">
        <v>41</v>
      </c>
      <c r="Z35" s="7" t="s">
        <v>41</v>
      </c>
      <c r="AA35" s="7" t="s">
        <v>41</v>
      </c>
      <c r="AB35" s="7" t="s">
        <v>41</v>
      </c>
      <c r="AC35" s="7">
        <v>18.0</v>
      </c>
      <c r="AD35" s="7">
        <v>1.7</v>
      </c>
      <c r="AE35" s="7">
        <v>8.7</v>
      </c>
      <c r="AF35" s="7">
        <v>7.3</v>
      </c>
      <c r="AG35" s="7">
        <v>3.0</v>
      </c>
    </row>
    <row r="36">
      <c r="A36" s="7" t="s">
        <v>153</v>
      </c>
      <c r="B36" s="7" t="s">
        <v>154</v>
      </c>
      <c r="C36" s="7" t="s">
        <v>155</v>
      </c>
      <c r="D36" s="7" t="s">
        <v>40</v>
      </c>
      <c r="E36" s="8">
        <v>2.33</v>
      </c>
      <c r="F36" s="8">
        <v>546.76</v>
      </c>
      <c r="G36" s="7">
        <v>75.73</v>
      </c>
      <c r="H36" s="7">
        <v>1.49</v>
      </c>
      <c r="I36" s="7">
        <v>16.92</v>
      </c>
      <c r="J36" s="9">
        <v>0.011</v>
      </c>
      <c r="K36" s="9">
        <v>0.2572</v>
      </c>
      <c r="L36" s="9">
        <v>0.1996</v>
      </c>
      <c r="M36" s="9">
        <v>0.4472</v>
      </c>
      <c r="N36" s="7">
        <v>27.22</v>
      </c>
      <c r="O36" s="7">
        <v>11.09</v>
      </c>
      <c r="P36" s="7">
        <v>9.64</v>
      </c>
      <c r="Q36" s="7">
        <v>10.04</v>
      </c>
      <c r="R36" s="7">
        <v>14.63</v>
      </c>
      <c r="S36" s="7">
        <v>3.55</v>
      </c>
      <c r="T36" s="7">
        <v>2.77</v>
      </c>
      <c r="U36" s="7">
        <v>2.94</v>
      </c>
      <c r="V36" s="7">
        <v>4.78</v>
      </c>
      <c r="W36" s="7" t="s">
        <v>43</v>
      </c>
      <c r="X36" s="7" t="s">
        <v>43</v>
      </c>
      <c r="Y36" s="7" t="s">
        <v>41</v>
      </c>
      <c r="Z36" s="7" t="s">
        <v>41</v>
      </c>
      <c r="AA36" s="7" t="s">
        <v>43</v>
      </c>
      <c r="AB36" s="7" t="s">
        <v>43</v>
      </c>
      <c r="AC36" s="7">
        <v>15.0</v>
      </c>
      <c r="AD36" s="7">
        <v>5.1</v>
      </c>
      <c r="AE36" s="7">
        <v>4.5</v>
      </c>
      <c r="AF36" s="7">
        <v>5.3</v>
      </c>
      <c r="AG36" s="7">
        <v>1.0</v>
      </c>
    </row>
    <row r="37">
      <c r="A37" s="7" t="s">
        <v>156</v>
      </c>
      <c r="B37" s="7" t="s">
        <v>157</v>
      </c>
      <c r="C37" s="7" t="s">
        <v>158</v>
      </c>
      <c r="D37" s="7" t="s">
        <v>33</v>
      </c>
      <c r="E37" s="8">
        <v>13.56</v>
      </c>
      <c r="F37" s="8">
        <v>18.82</v>
      </c>
      <c r="G37" s="7">
        <v>29.73</v>
      </c>
      <c r="H37" s="7">
        <v>6.09</v>
      </c>
      <c r="I37" s="7">
        <v>10.61</v>
      </c>
      <c r="J37" s="9">
        <v>0.0785</v>
      </c>
      <c r="K37" s="7" t="s">
        <v>51</v>
      </c>
      <c r="L37" s="9">
        <v>0.0047</v>
      </c>
      <c r="M37" s="9">
        <v>0.0842</v>
      </c>
      <c r="N37" s="7">
        <v>1.81</v>
      </c>
      <c r="O37" s="7">
        <v>78.07</v>
      </c>
      <c r="P37" s="7">
        <v>81.91</v>
      </c>
      <c r="Q37" s="7">
        <v>78.93</v>
      </c>
      <c r="R37" s="7">
        <v>97.2</v>
      </c>
      <c r="S37" s="7" t="s">
        <v>41</v>
      </c>
      <c r="T37" s="7" t="s">
        <v>41</v>
      </c>
      <c r="U37" s="7" t="s">
        <v>41</v>
      </c>
      <c r="V37" s="7" t="s">
        <v>41</v>
      </c>
      <c r="W37" s="7" t="s">
        <v>35</v>
      </c>
      <c r="X37" s="7" t="s">
        <v>43</v>
      </c>
      <c r="Y37" s="7" t="s">
        <v>41</v>
      </c>
      <c r="Z37" s="7" t="s">
        <v>41</v>
      </c>
      <c r="AA37" s="7" t="s">
        <v>41</v>
      </c>
      <c r="AB37" s="7" t="s">
        <v>41</v>
      </c>
      <c r="AC37" s="7">
        <v>16.0</v>
      </c>
      <c r="AD37" s="7">
        <v>1.0</v>
      </c>
      <c r="AE37" s="7">
        <v>4.0</v>
      </c>
      <c r="AF37" s="7">
        <v>10.8</v>
      </c>
      <c r="AG37" s="7">
        <v>2.0</v>
      </c>
    </row>
    <row r="38">
      <c r="A38" s="7" t="s">
        <v>159</v>
      </c>
      <c r="B38" s="7" t="s">
        <v>160</v>
      </c>
      <c r="C38" s="7" t="s">
        <v>161</v>
      </c>
      <c r="D38" s="7" t="s">
        <v>33</v>
      </c>
      <c r="E38" s="8">
        <v>31.8</v>
      </c>
      <c r="F38" s="8">
        <v>163.65</v>
      </c>
      <c r="G38" s="7">
        <v>29.23</v>
      </c>
      <c r="H38" s="7">
        <v>0.5657</v>
      </c>
      <c r="I38" s="7">
        <v>24.19</v>
      </c>
      <c r="J38" s="9">
        <v>0.0196</v>
      </c>
      <c r="K38" s="9">
        <v>0.0663</v>
      </c>
      <c r="L38" s="9">
        <v>0.0066</v>
      </c>
      <c r="M38" s="9">
        <v>0.1821</v>
      </c>
      <c r="N38" s="7">
        <v>6.59</v>
      </c>
      <c r="O38" s="7">
        <v>3.36</v>
      </c>
      <c r="P38" s="7">
        <v>3.52</v>
      </c>
      <c r="Q38" s="7">
        <v>4.0</v>
      </c>
      <c r="R38" s="7">
        <v>4.63</v>
      </c>
      <c r="S38" s="7">
        <v>1.679</v>
      </c>
      <c r="T38" s="7">
        <v>1.813</v>
      </c>
      <c r="U38" s="7">
        <v>2.025</v>
      </c>
      <c r="V38" s="7">
        <v>2.043</v>
      </c>
      <c r="W38" s="7" t="s">
        <v>43</v>
      </c>
      <c r="X38" s="7" t="s">
        <v>43</v>
      </c>
      <c r="Y38" s="7" t="s">
        <v>41</v>
      </c>
      <c r="Z38" s="7" t="s">
        <v>41</v>
      </c>
      <c r="AA38" s="7" t="s">
        <v>41</v>
      </c>
      <c r="AB38" s="7" t="s">
        <v>41</v>
      </c>
      <c r="AC38" s="7">
        <v>14.0</v>
      </c>
      <c r="AD38" s="7">
        <v>1.7</v>
      </c>
      <c r="AE38" s="7">
        <v>4.5</v>
      </c>
      <c r="AF38" s="7">
        <v>7.8</v>
      </c>
      <c r="AG38" s="7">
        <v>2.0</v>
      </c>
    </row>
    <row r="39">
      <c r="A39" s="7" t="s">
        <v>162</v>
      </c>
      <c r="B39" s="7" t="s">
        <v>163</v>
      </c>
      <c r="C39" s="7" t="s">
        <v>164</v>
      </c>
      <c r="D39" s="7" t="s">
        <v>40</v>
      </c>
      <c r="E39" s="8">
        <v>9.25</v>
      </c>
      <c r="F39" s="8">
        <v>95.69</v>
      </c>
      <c r="G39" s="7">
        <v>17.76</v>
      </c>
      <c r="H39" s="7">
        <v>1.16</v>
      </c>
      <c r="I39" s="7">
        <v>32.39</v>
      </c>
      <c r="J39" s="9">
        <v>0.0053</v>
      </c>
      <c r="K39" s="9">
        <v>0.0355</v>
      </c>
      <c r="L39" s="9">
        <v>0.0288</v>
      </c>
      <c r="M39" s="9">
        <v>0.0585</v>
      </c>
      <c r="N39" s="7">
        <v>2.96</v>
      </c>
      <c r="O39" s="7">
        <v>4.36</v>
      </c>
      <c r="P39" s="7">
        <v>8.2</v>
      </c>
      <c r="Q39" s="7">
        <v>7.56</v>
      </c>
      <c r="R39" s="7">
        <v>7.82</v>
      </c>
      <c r="S39" s="7">
        <v>0.65993</v>
      </c>
      <c r="T39" s="7">
        <v>1.33</v>
      </c>
      <c r="U39" s="7">
        <v>1.33</v>
      </c>
      <c r="V39" s="7">
        <v>1.45</v>
      </c>
      <c r="W39" s="7" t="s">
        <v>55</v>
      </c>
      <c r="X39" s="7" t="s">
        <v>43</v>
      </c>
      <c r="Y39" s="7" t="s">
        <v>41</v>
      </c>
      <c r="Z39" s="7" t="s">
        <v>41</v>
      </c>
      <c r="AA39" s="7" t="s">
        <v>41</v>
      </c>
      <c r="AB39" s="7" t="s">
        <v>41</v>
      </c>
      <c r="AC39" s="7">
        <v>32.0</v>
      </c>
      <c r="AD39" s="7">
        <v>10.4</v>
      </c>
      <c r="AE39" s="7">
        <v>14.1</v>
      </c>
      <c r="AF39" s="7">
        <v>7.7</v>
      </c>
      <c r="AG39" s="7">
        <v>1.0</v>
      </c>
    </row>
    <row r="40">
      <c r="A40" s="7" t="s">
        <v>165</v>
      </c>
      <c r="B40" s="7" t="s">
        <v>166</v>
      </c>
      <c r="C40" s="7" t="s">
        <v>167</v>
      </c>
      <c r="D40" s="7" t="s">
        <v>146</v>
      </c>
      <c r="E40" s="8">
        <v>486.0</v>
      </c>
      <c r="F40" s="8">
        <v>2925.5</v>
      </c>
      <c r="G40" s="7">
        <v>2830.0</v>
      </c>
      <c r="H40" s="7">
        <v>3.296</v>
      </c>
      <c r="I40" s="7">
        <v>14.46</v>
      </c>
      <c r="J40" s="9">
        <v>0.0279</v>
      </c>
      <c r="K40" s="9">
        <v>0.0766</v>
      </c>
      <c r="L40" s="9">
        <v>0.0526</v>
      </c>
      <c r="M40" s="9">
        <v>0.0967</v>
      </c>
      <c r="N40" s="7">
        <v>112.52</v>
      </c>
      <c r="O40" s="7">
        <v>2500.0</v>
      </c>
      <c r="P40" s="7">
        <v>2730.0</v>
      </c>
      <c r="Q40" s="7">
        <v>2440.0</v>
      </c>
      <c r="R40" s="7">
        <v>2190.0</v>
      </c>
      <c r="S40" s="7">
        <v>433.93</v>
      </c>
      <c r="T40" s="7">
        <v>530.91</v>
      </c>
      <c r="U40" s="7">
        <v>385.45</v>
      </c>
      <c r="V40" s="7">
        <v>304.05</v>
      </c>
      <c r="W40" s="7" t="s">
        <v>34</v>
      </c>
      <c r="X40" s="7" t="s">
        <v>34</v>
      </c>
      <c r="Y40" s="7" t="s">
        <v>41</v>
      </c>
      <c r="Z40" s="7" t="s">
        <v>41</v>
      </c>
      <c r="AA40" s="7" t="s">
        <v>34</v>
      </c>
      <c r="AB40" s="7" t="s">
        <v>34</v>
      </c>
      <c r="AC40" s="7">
        <v>26.0</v>
      </c>
      <c r="AD40" s="7">
        <v>5.3</v>
      </c>
      <c r="AE40" s="7">
        <v>11.5</v>
      </c>
      <c r="AF40" s="7">
        <v>8.9</v>
      </c>
      <c r="AG40" s="7">
        <v>2.0</v>
      </c>
    </row>
    <row r="41">
      <c r="A41" s="7" t="s">
        <v>168</v>
      </c>
      <c r="B41" s="7" t="s">
        <v>169</v>
      </c>
      <c r="C41" s="7" t="s">
        <v>170</v>
      </c>
      <c r="D41" s="7" t="s">
        <v>33</v>
      </c>
      <c r="E41" s="8">
        <v>15.42</v>
      </c>
      <c r="F41" s="8">
        <v>8.36</v>
      </c>
      <c r="G41" s="7">
        <v>0.369</v>
      </c>
      <c r="H41" s="7">
        <v>0.1485</v>
      </c>
      <c r="I41" s="7">
        <v>10.06</v>
      </c>
      <c r="J41" s="7" t="s">
        <v>41</v>
      </c>
      <c r="K41" s="9">
        <v>0.0479</v>
      </c>
      <c r="L41" s="9">
        <v>0.038</v>
      </c>
      <c r="M41" s="9">
        <v>0.11</v>
      </c>
      <c r="N41" s="7">
        <v>0.81</v>
      </c>
      <c r="O41" s="7">
        <v>1.3</v>
      </c>
      <c r="P41" s="7">
        <v>1.28</v>
      </c>
      <c r="Q41" s="7">
        <v>0.95952</v>
      </c>
      <c r="R41" s="7">
        <v>1.25</v>
      </c>
      <c r="S41" s="7">
        <v>0.10507</v>
      </c>
      <c r="T41" s="7">
        <v>0.11034</v>
      </c>
      <c r="U41" s="7">
        <v>0.09519</v>
      </c>
      <c r="V41" s="7">
        <v>0.12156</v>
      </c>
      <c r="W41" s="7" t="s">
        <v>36</v>
      </c>
      <c r="X41" s="7" t="s">
        <v>114</v>
      </c>
      <c r="Y41" s="7" t="s">
        <v>41</v>
      </c>
      <c r="Z41" s="7" t="s">
        <v>41</v>
      </c>
      <c r="AA41" s="7" t="s">
        <v>41</v>
      </c>
      <c r="AB41" s="7" t="s">
        <v>41</v>
      </c>
      <c r="AC41" s="7" t="s">
        <v>41</v>
      </c>
      <c r="AD41" s="7" t="s">
        <v>41</v>
      </c>
      <c r="AE41" s="7" t="s">
        <v>41</v>
      </c>
      <c r="AF41" s="7" t="s">
        <v>41</v>
      </c>
      <c r="AG41" s="7" t="s">
        <v>41</v>
      </c>
    </row>
    <row r="42">
      <c r="A42" s="7" t="s">
        <v>171</v>
      </c>
      <c r="B42" s="7" t="s">
        <v>172</v>
      </c>
      <c r="C42" s="7" t="s">
        <v>173</v>
      </c>
      <c r="D42" s="7" t="s">
        <v>124</v>
      </c>
      <c r="E42" s="8">
        <v>609.85</v>
      </c>
      <c r="F42" s="8">
        <v>9574.0</v>
      </c>
      <c r="G42" s="7">
        <v>150.761</v>
      </c>
      <c r="H42" s="7">
        <v>2.584</v>
      </c>
      <c r="I42" s="7">
        <v>1621.67</v>
      </c>
      <c r="J42" s="9">
        <v>0.0219</v>
      </c>
      <c r="K42" s="9">
        <v>0.0366</v>
      </c>
      <c r="L42" s="9">
        <v>0.0262</v>
      </c>
      <c r="M42" s="9">
        <v>0.1103</v>
      </c>
      <c r="N42" s="7">
        <v>0.06</v>
      </c>
      <c r="O42" s="7">
        <v>22.09</v>
      </c>
      <c r="P42" s="7">
        <v>24.384</v>
      </c>
      <c r="Q42" s="7">
        <v>26.617</v>
      </c>
      <c r="R42" s="7">
        <v>37.417</v>
      </c>
      <c r="S42" s="7">
        <v>7.14</v>
      </c>
      <c r="T42" s="7">
        <v>6.686</v>
      </c>
      <c r="U42" s="7">
        <v>8.311</v>
      </c>
      <c r="V42" s="7">
        <v>7.586</v>
      </c>
      <c r="W42" s="7" t="s">
        <v>34</v>
      </c>
      <c r="X42" s="7" t="s">
        <v>34</v>
      </c>
      <c r="Y42" s="7" t="s">
        <v>114</v>
      </c>
      <c r="Z42" s="7" t="s">
        <v>52</v>
      </c>
      <c r="AA42" s="7" t="s">
        <v>34</v>
      </c>
      <c r="AB42" s="7" t="s">
        <v>34</v>
      </c>
      <c r="AC42" s="7">
        <v>23.0</v>
      </c>
      <c r="AD42" s="7">
        <v>1.2</v>
      </c>
      <c r="AE42" s="7">
        <v>14.2</v>
      </c>
      <c r="AF42" s="7">
        <v>7.8</v>
      </c>
      <c r="AG42" s="7">
        <v>3.0</v>
      </c>
    </row>
    <row r="43">
      <c r="A43" s="7" t="s">
        <v>174</v>
      </c>
      <c r="B43" s="7" t="s">
        <v>175</v>
      </c>
      <c r="C43" s="7" t="s">
        <v>176</v>
      </c>
      <c r="D43" s="7" t="s">
        <v>40</v>
      </c>
      <c r="E43" s="8">
        <v>1.34</v>
      </c>
      <c r="F43" s="8">
        <v>121.89</v>
      </c>
      <c r="G43" s="7">
        <v>207.791</v>
      </c>
      <c r="H43" s="7">
        <v>6.22</v>
      </c>
      <c r="I43" s="7">
        <v>29.91</v>
      </c>
      <c r="J43" s="9">
        <v>0.0154</v>
      </c>
      <c r="K43" s="9">
        <v>0.0657</v>
      </c>
      <c r="L43" s="9">
        <v>0.0559</v>
      </c>
      <c r="M43" s="9">
        <v>0.1267</v>
      </c>
      <c r="N43" s="7">
        <v>3.98</v>
      </c>
      <c r="O43" s="7">
        <v>30.58</v>
      </c>
      <c r="P43" s="7">
        <v>31.9</v>
      </c>
      <c r="Q43" s="7">
        <v>34.61</v>
      </c>
      <c r="R43" s="7">
        <v>43.08</v>
      </c>
      <c r="S43" s="7">
        <v>7.12</v>
      </c>
      <c r="T43" s="7">
        <v>7.61</v>
      </c>
      <c r="U43" s="7">
        <v>8.62</v>
      </c>
      <c r="V43" s="7">
        <v>12.74</v>
      </c>
      <c r="W43" s="7" t="s">
        <v>43</v>
      </c>
      <c r="X43" s="7" t="s">
        <v>43</v>
      </c>
      <c r="Y43" s="7" t="s">
        <v>59</v>
      </c>
      <c r="Z43" s="7" t="s">
        <v>59</v>
      </c>
      <c r="AA43" s="7" t="s">
        <v>43</v>
      </c>
      <c r="AB43" s="7" t="s">
        <v>35</v>
      </c>
      <c r="AC43" s="7">
        <v>26.0</v>
      </c>
      <c r="AD43" s="7">
        <v>3.0</v>
      </c>
      <c r="AE43" s="7">
        <v>13.5</v>
      </c>
      <c r="AF43" s="7">
        <v>9.4</v>
      </c>
      <c r="AG43" s="7">
        <v>3.0</v>
      </c>
    </row>
    <row r="44">
      <c r="A44" s="7" t="s">
        <v>177</v>
      </c>
      <c r="B44" s="7" t="s">
        <v>178</v>
      </c>
      <c r="C44" s="7" t="s">
        <v>179</v>
      </c>
      <c r="D44" s="7" t="s">
        <v>33</v>
      </c>
      <c r="E44" s="8">
        <v>23.05</v>
      </c>
      <c r="F44" s="8">
        <v>45.91</v>
      </c>
      <c r="G44" s="7">
        <v>55.721</v>
      </c>
      <c r="H44" s="7">
        <v>3.262</v>
      </c>
      <c r="I44" s="7">
        <v>11.22</v>
      </c>
      <c r="J44" s="9">
        <v>0.0392</v>
      </c>
      <c r="K44" s="9">
        <v>0.1009</v>
      </c>
      <c r="L44" s="9">
        <v>0.0665</v>
      </c>
      <c r="M44" s="9">
        <v>0.2232</v>
      </c>
      <c r="N44" s="7">
        <v>4.1</v>
      </c>
      <c r="O44" s="7">
        <v>61.55</v>
      </c>
      <c r="P44" s="7">
        <v>63.43</v>
      </c>
      <c r="Q44" s="7">
        <v>66.72</v>
      </c>
      <c r="R44" s="7">
        <v>81.75</v>
      </c>
      <c r="S44" s="7">
        <v>5.31</v>
      </c>
      <c r="T44" s="7">
        <v>6.11</v>
      </c>
      <c r="U44" s="7">
        <v>7.37</v>
      </c>
      <c r="V44" s="7">
        <v>10.29</v>
      </c>
      <c r="W44" s="7" t="s">
        <v>43</v>
      </c>
      <c r="X44" s="7" t="s">
        <v>43</v>
      </c>
      <c r="Y44" s="7" t="s">
        <v>41</v>
      </c>
      <c r="Z44" s="7" t="s">
        <v>41</v>
      </c>
      <c r="AA44" s="7" t="s">
        <v>41</v>
      </c>
      <c r="AB44" s="7" t="s">
        <v>41</v>
      </c>
      <c r="AC44" s="7">
        <v>16.0</v>
      </c>
      <c r="AD44" s="7">
        <v>4.0</v>
      </c>
      <c r="AE44" s="7">
        <v>6.7</v>
      </c>
      <c r="AF44" s="7">
        <v>4.9</v>
      </c>
      <c r="AG44" s="7">
        <v>2.0</v>
      </c>
    </row>
    <row r="45">
      <c r="A45" s="7" t="s">
        <v>180</v>
      </c>
      <c r="B45" s="7" t="s">
        <v>181</v>
      </c>
      <c r="C45" s="7" t="s">
        <v>182</v>
      </c>
      <c r="D45" s="7" t="s">
        <v>33</v>
      </c>
      <c r="E45" s="8">
        <v>10.58</v>
      </c>
      <c r="F45" s="8">
        <v>32.56</v>
      </c>
      <c r="G45" s="7">
        <v>4.208</v>
      </c>
      <c r="H45" s="7">
        <v>0.257</v>
      </c>
      <c r="I45" s="7">
        <v>27.96</v>
      </c>
      <c r="J45" s="9">
        <v>0.0154</v>
      </c>
      <c r="K45" s="9">
        <v>-0.0101</v>
      </c>
      <c r="L45" s="9">
        <v>-0.0066</v>
      </c>
      <c r="M45" s="9">
        <v>-0.0119</v>
      </c>
      <c r="N45" s="7">
        <v>1.16</v>
      </c>
      <c r="O45" s="7">
        <v>2.57</v>
      </c>
      <c r="P45" s="7">
        <v>2.64</v>
      </c>
      <c r="Q45" s="7">
        <v>2.52</v>
      </c>
      <c r="R45" s="7">
        <v>2.96</v>
      </c>
      <c r="S45" s="7">
        <v>0.31973</v>
      </c>
      <c r="T45" s="7">
        <v>0.25255</v>
      </c>
      <c r="U45" s="7">
        <v>0.36463</v>
      </c>
      <c r="V45" s="7">
        <v>0.42716</v>
      </c>
      <c r="W45" s="7" t="s">
        <v>42</v>
      </c>
      <c r="X45" s="7" t="s">
        <v>52</v>
      </c>
      <c r="Y45" s="7" t="s">
        <v>59</v>
      </c>
      <c r="Z45" s="7" t="s">
        <v>59</v>
      </c>
      <c r="AA45" s="7" t="s">
        <v>41</v>
      </c>
      <c r="AB45" s="7" t="s">
        <v>41</v>
      </c>
      <c r="AC45" s="7" t="s">
        <v>41</v>
      </c>
      <c r="AD45" s="7" t="s">
        <v>41</v>
      </c>
      <c r="AE45" s="7" t="s">
        <v>41</v>
      </c>
      <c r="AF45" s="7" t="s">
        <v>41</v>
      </c>
      <c r="AG45" s="7" t="s">
        <v>41</v>
      </c>
    </row>
    <row r="46">
      <c r="A46" s="7" t="s">
        <v>183</v>
      </c>
      <c r="B46" s="7" t="s">
        <v>184</v>
      </c>
      <c r="C46" s="7" t="s">
        <v>185</v>
      </c>
      <c r="D46" s="7" t="s">
        <v>33</v>
      </c>
      <c r="E46" s="8">
        <v>6.2</v>
      </c>
      <c r="F46" s="8">
        <v>26.0</v>
      </c>
      <c r="G46" s="7">
        <v>61.465</v>
      </c>
      <c r="H46" s="7">
        <v>7.018</v>
      </c>
      <c r="I46" s="7">
        <v>11.08</v>
      </c>
      <c r="J46" s="9">
        <v>0.0592</v>
      </c>
      <c r="K46" s="7" t="s">
        <v>51</v>
      </c>
      <c r="L46" s="9">
        <v>0.0048</v>
      </c>
      <c r="M46" s="9">
        <v>0.061</v>
      </c>
      <c r="N46" s="7">
        <v>1.25</v>
      </c>
      <c r="O46" s="7">
        <v>117.1</v>
      </c>
      <c r="P46" s="7">
        <v>124.96</v>
      </c>
      <c r="Q46" s="7">
        <v>101.71</v>
      </c>
      <c r="R46" s="7">
        <v>100.52</v>
      </c>
      <c r="S46" s="7" t="s">
        <v>41</v>
      </c>
      <c r="T46" s="7" t="s">
        <v>41</v>
      </c>
      <c r="U46" s="7" t="s">
        <v>41</v>
      </c>
      <c r="V46" s="7" t="s">
        <v>41</v>
      </c>
      <c r="W46" s="7" t="s">
        <v>52</v>
      </c>
      <c r="X46" s="7" t="s">
        <v>35</v>
      </c>
      <c r="Y46" s="7" t="s">
        <v>41</v>
      </c>
      <c r="Z46" s="7" t="s">
        <v>41</v>
      </c>
      <c r="AA46" s="7" t="s">
        <v>41</v>
      </c>
      <c r="AB46" s="7" t="s">
        <v>41</v>
      </c>
      <c r="AC46" s="7">
        <v>13.0</v>
      </c>
      <c r="AD46" s="7">
        <v>0.6</v>
      </c>
      <c r="AE46" s="7">
        <v>4.8</v>
      </c>
      <c r="AF46" s="7">
        <v>7.8</v>
      </c>
      <c r="AG46" s="7">
        <v>2.0</v>
      </c>
    </row>
    <row r="47">
      <c r="A47" s="7" t="s">
        <v>186</v>
      </c>
      <c r="B47" s="7" t="s">
        <v>187</v>
      </c>
      <c r="C47" s="7" t="s">
        <v>188</v>
      </c>
      <c r="D47" s="7" t="s">
        <v>40</v>
      </c>
      <c r="E47" s="8">
        <v>20.86</v>
      </c>
      <c r="F47" s="8">
        <v>218.47</v>
      </c>
      <c r="G47" s="7">
        <v>465.234</v>
      </c>
      <c r="H47" s="7">
        <v>9.331</v>
      </c>
      <c r="I47" s="7">
        <v>35.59</v>
      </c>
      <c r="J47" s="9">
        <v>0.0069</v>
      </c>
      <c r="K47" s="9">
        <v>0.1725</v>
      </c>
      <c r="L47" s="9">
        <v>0.1435</v>
      </c>
      <c r="M47" s="9">
        <v>0.344</v>
      </c>
      <c r="N47" s="7">
        <v>5.64</v>
      </c>
      <c r="O47" s="7">
        <v>20.61</v>
      </c>
      <c r="P47" s="7">
        <v>22.98</v>
      </c>
      <c r="Q47" s="7">
        <v>21.85</v>
      </c>
      <c r="R47" s="7">
        <v>24.11</v>
      </c>
      <c r="S47" s="7">
        <v>14.17</v>
      </c>
      <c r="T47" s="7">
        <v>16.06</v>
      </c>
      <c r="U47" s="7">
        <v>14.88</v>
      </c>
      <c r="V47" s="7">
        <v>16.63</v>
      </c>
      <c r="W47" s="7" t="s">
        <v>35</v>
      </c>
      <c r="X47" s="7" t="s">
        <v>34</v>
      </c>
      <c r="Y47" s="7" t="s">
        <v>41</v>
      </c>
      <c r="Z47" s="7" t="s">
        <v>41</v>
      </c>
      <c r="AA47" s="7" t="s">
        <v>41</v>
      </c>
      <c r="AB47" s="7" t="s">
        <v>41</v>
      </c>
      <c r="AC47" s="7">
        <v>16.0</v>
      </c>
      <c r="AD47" s="7">
        <v>0.7</v>
      </c>
      <c r="AE47" s="7">
        <v>7.8</v>
      </c>
      <c r="AF47" s="7">
        <v>7.5</v>
      </c>
      <c r="AG47" s="7">
        <v>3.0</v>
      </c>
    </row>
    <row r="48">
      <c r="A48" s="7" t="s">
        <v>189</v>
      </c>
      <c r="B48" s="7" t="s">
        <v>190</v>
      </c>
      <c r="C48" s="7" t="s">
        <v>191</v>
      </c>
      <c r="D48" s="7" t="s">
        <v>124</v>
      </c>
      <c r="E48" s="8">
        <v>312.4</v>
      </c>
      <c r="F48" s="8">
        <v>779.6</v>
      </c>
      <c r="G48" s="7">
        <v>5.904</v>
      </c>
      <c r="H48" s="7">
        <v>2.449</v>
      </c>
      <c r="I48" s="7">
        <v>37.3</v>
      </c>
      <c r="J48" s="9">
        <v>0.0259</v>
      </c>
      <c r="K48" s="9">
        <v>0.0548</v>
      </c>
      <c r="L48" s="9">
        <v>0.0437</v>
      </c>
      <c r="M48" s="9">
        <v>0.0809</v>
      </c>
      <c r="N48" s="7">
        <v>0.21</v>
      </c>
      <c r="O48" s="7">
        <v>4.13</v>
      </c>
      <c r="P48" s="7">
        <v>3.87</v>
      </c>
      <c r="Q48" s="7">
        <v>3.4</v>
      </c>
      <c r="R48" s="7">
        <v>3.43</v>
      </c>
      <c r="S48" s="7">
        <v>0.93</v>
      </c>
      <c r="T48" s="7">
        <v>0.97</v>
      </c>
      <c r="U48" s="7">
        <v>0.78</v>
      </c>
      <c r="V48" s="7">
        <v>0.983</v>
      </c>
      <c r="W48" s="7" t="s">
        <v>43</v>
      </c>
      <c r="X48" s="7" t="s">
        <v>43</v>
      </c>
      <c r="Y48" s="7" t="s">
        <v>43</v>
      </c>
      <c r="Z48" s="7" t="s">
        <v>43</v>
      </c>
      <c r="AA48" s="7" t="s">
        <v>43</v>
      </c>
      <c r="AB48" s="7" t="s">
        <v>43</v>
      </c>
      <c r="AC48" s="7">
        <v>8.0</v>
      </c>
      <c r="AD48" s="7">
        <v>0.0</v>
      </c>
      <c r="AE48" s="7">
        <v>3.3</v>
      </c>
      <c r="AF48" s="7">
        <v>4.3</v>
      </c>
      <c r="AG48" s="7">
        <v>2.0</v>
      </c>
    </row>
    <row r="49">
      <c r="A49" s="7" t="s">
        <v>192</v>
      </c>
      <c r="B49" s="7" t="s">
        <v>193</v>
      </c>
      <c r="C49" s="7" t="s">
        <v>194</v>
      </c>
      <c r="D49" s="7" t="s">
        <v>33</v>
      </c>
      <c r="E49" s="8">
        <v>14.51</v>
      </c>
      <c r="F49" s="8">
        <v>5.2</v>
      </c>
      <c r="G49" s="7">
        <v>33.66</v>
      </c>
      <c r="H49" s="7">
        <v>26.465</v>
      </c>
      <c r="I49" s="7">
        <v>7.75</v>
      </c>
      <c r="J49" s="9">
        <v>0.0688</v>
      </c>
      <c r="K49" s="7" t="s">
        <v>51</v>
      </c>
      <c r="L49" s="9">
        <v>0.0072</v>
      </c>
      <c r="M49" s="9">
        <v>0.0858</v>
      </c>
      <c r="N49" s="7">
        <v>0.6</v>
      </c>
      <c r="O49" s="7">
        <v>29.99</v>
      </c>
      <c r="P49" s="7">
        <v>27.91</v>
      </c>
      <c r="Q49" s="7">
        <v>22.53</v>
      </c>
      <c r="R49" s="7">
        <v>23.19</v>
      </c>
      <c r="S49" s="7" t="s">
        <v>41</v>
      </c>
      <c r="T49" s="7" t="s">
        <v>41</v>
      </c>
      <c r="U49" s="7" t="s">
        <v>41</v>
      </c>
      <c r="V49" s="7" t="s">
        <v>41</v>
      </c>
      <c r="W49" s="7" t="s">
        <v>35</v>
      </c>
      <c r="X49" s="7" t="s">
        <v>43</v>
      </c>
      <c r="Y49" s="7" t="s">
        <v>41</v>
      </c>
      <c r="Z49" s="7" t="s">
        <v>41</v>
      </c>
      <c r="AA49" s="7" t="s">
        <v>41</v>
      </c>
      <c r="AB49" s="7" t="s">
        <v>41</v>
      </c>
      <c r="AC49" s="7">
        <v>22.0</v>
      </c>
      <c r="AD49" s="7">
        <v>1.2</v>
      </c>
      <c r="AE49" s="7">
        <v>10.3</v>
      </c>
      <c r="AF49" s="7">
        <v>11.0</v>
      </c>
      <c r="AG49" s="7">
        <v>3.0</v>
      </c>
    </row>
    <row r="50">
      <c r="A50" s="7" t="s">
        <v>195</v>
      </c>
      <c r="B50" s="7" t="s">
        <v>196</v>
      </c>
      <c r="C50" s="7" t="s">
        <v>197</v>
      </c>
      <c r="D50" s="7" t="s">
        <v>124</v>
      </c>
      <c r="E50" s="8">
        <v>299.84</v>
      </c>
      <c r="F50" s="8">
        <v>440.7</v>
      </c>
      <c r="G50" s="7">
        <v>16.117</v>
      </c>
      <c r="H50" s="7">
        <v>10.399</v>
      </c>
      <c r="I50" s="7">
        <v>8.78</v>
      </c>
      <c r="J50" s="9">
        <v>0.05</v>
      </c>
      <c r="K50" s="7" t="s">
        <v>51</v>
      </c>
      <c r="L50" s="9">
        <v>0.0035</v>
      </c>
      <c r="M50" s="9">
        <v>0.0789</v>
      </c>
      <c r="N50" s="7">
        <v>0.06</v>
      </c>
      <c r="O50" s="7">
        <v>18.29</v>
      </c>
      <c r="P50" s="7">
        <v>66.38</v>
      </c>
      <c r="Q50" s="7">
        <v>31.08</v>
      </c>
      <c r="R50" s="7">
        <v>31.98</v>
      </c>
      <c r="S50" s="7" t="s">
        <v>41</v>
      </c>
      <c r="T50" s="7" t="s">
        <v>41</v>
      </c>
      <c r="U50" s="7" t="s">
        <v>41</v>
      </c>
      <c r="V50" s="7" t="s">
        <v>41</v>
      </c>
      <c r="W50" s="7" t="s">
        <v>55</v>
      </c>
      <c r="X50" s="7" t="s">
        <v>52</v>
      </c>
      <c r="Y50" s="7" t="s">
        <v>41</v>
      </c>
      <c r="Z50" s="7" t="s">
        <v>41</v>
      </c>
      <c r="AA50" s="7" t="s">
        <v>41</v>
      </c>
      <c r="AB50" s="7" t="s">
        <v>41</v>
      </c>
      <c r="AC50" s="7">
        <v>17.0</v>
      </c>
      <c r="AD50" s="7">
        <v>1.3</v>
      </c>
      <c r="AE50" s="7">
        <v>9.4</v>
      </c>
      <c r="AF50" s="7">
        <v>6.1</v>
      </c>
      <c r="AG50" s="7">
        <v>2.0</v>
      </c>
    </row>
    <row r="51">
      <c r="A51" s="7" t="s">
        <v>198</v>
      </c>
      <c r="B51" s="7" t="s">
        <v>199</v>
      </c>
      <c r="C51" s="7" t="s">
        <v>200</v>
      </c>
      <c r="D51" s="7" t="s">
        <v>33</v>
      </c>
      <c r="E51" s="8">
        <v>7.41</v>
      </c>
      <c r="F51" s="8">
        <v>31.7</v>
      </c>
      <c r="G51" s="7">
        <v>2.162</v>
      </c>
      <c r="H51" s="7">
        <v>0.136</v>
      </c>
      <c r="I51" s="7">
        <v>26.93</v>
      </c>
      <c r="J51" s="9">
        <v>0.0095</v>
      </c>
      <c r="K51" s="9">
        <v>0.062</v>
      </c>
      <c r="L51" s="9">
        <v>0.0303</v>
      </c>
      <c r="M51" s="9">
        <v>0.115</v>
      </c>
      <c r="N51" s="7">
        <v>1.2</v>
      </c>
      <c r="O51" s="7">
        <v>3.87</v>
      </c>
      <c r="P51" s="7">
        <v>3.92</v>
      </c>
      <c r="Q51" s="7">
        <v>3.32</v>
      </c>
      <c r="R51" s="7">
        <v>3.54</v>
      </c>
      <c r="S51" s="7">
        <v>0.34663</v>
      </c>
      <c r="T51" s="7">
        <v>0.31601</v>
      </c>
      <c r="U51" s="7">
        <v>0.11996</v>
      </c>
      <c r="V51" s="7">
        <v>0.28122</v>
      </c>
      <c r="W51" s="7" t="s">
        <v>52</v>
      </c>
      <c r="X51" s="7" t="s">
        <v>52</v>
      </c>
      <c r="Y51" s="7" t="s">
        <v>41</v>
      </c>
      <c r="Z51" s="7" t="s">
        <v>41</v>
      </c>
      <c r="AA51" s="7" t="s">
        <v>52</v>
      </c>
      <c r="AB51" s="7" t="s">
        <v>42</v>
      </c>
      <c r="AC51" s="7" t="s">
        <v>41</v>
      </c>
      <c r="AD51" s="7" t="s">
        <v>41</v>
      </c>
      <c r="AE51" s="7" t="s">
        <v>41</v>
      </c>
      <c r="AF51" s="7" t="s">
        <v>41</v>
      </c>
      <c r="AG51" s="7" t="s">
        <v>41</v>
      </c>
    </row>
    <row r="52">
      <c r="A52" s="7" t="s">
        <v>201</v>
      </c>
      <c r="B52" s="7" t="s">
        <v>202</v>
      </c>
      <c r="C52" s="7" t="s">
        <v>203</v>
      </c>
      <c r="D52" s="7" t="s">
        <v>40</v>
      </c>
      <c r="E52" s="8">
        <v>32.91</v>
      </c>
      <c r="F52" s="8">
        <v>25.91</v>
      </c>
      <c r="G52" s="7">
        <v>3.719</v>
      </c>
      <c r="H52" s="7">
        <v>2.622</v>
      </c>
      <c r="I52" s="7" t="s">
        <v>41</v>
      </c>
      <c r="J52" s="7" t="s">
        <v>51</v>
      </c>
      <c r="K52" s="9">
        <v>-0.0137</v>
      </c>
      <c r="L52" s="9">
        <v>-0.0114</v>
      </c>
      <c r="M52" s="9">
        <v>-0.0201</v>
      </c>
      <c r="N52" s="7">
        <v>-1.08</v>
      </c>
      <c r="O52" s="7">
        <v>1.62</v>
      </c>
      <c r="P52" s="7">
        <v>1.56</v>
      </c>
      <c r="Q52" s="7">
        <v>0.604</v>
      </c>
      <c r="R52" s="7">
        <v>0.902</v>
      </c>
      <c r="S52" s="7">
        <v>0.299</v>
      </c>
      <c r="T52" s="7">
        <v>0.313</v>
      </c>
      <c r="U52" s="7">
        <v>-0.172</v>
      </c>
      <c r="V52" s="7">
        <v>-0.029</v>
      </c>
      <c r="W52" s="7" t="s">
        <v>59</v>
      </c>
      <c r="X52" s="7" t="s">
        <v>59</v>
      </c>
      <c r="Y52" s="7" t="s">
        <v>41</v>
      </c>
      <c r="Z52" s="7" t="s">
        <v>41</v>
      </c>
      <c r="AA52" s="7" t="s">
        <v>41</v>
      </c>
      <c r="AB52" s="7" t="s">
        <v>41</v>
      </c>
      <c r="AC52" s="7">
        <v>26.0</v>
      </c>
      <c r="AD52" s="7">
        <v>2.8</v>
      </c>
      <c r="AE52" s="7">
        <v>14.7</v>
      </c>
      <c r="AF52" s="7">
        <v>8.3</v>
      </c>
      <c r="AG52" s="7">
        <v>2.0</v>
      </c>
    </row>
    <row r="53">
      <c r="A53" s="7" t="s">
        <v>204</v>
      </c>
      <c r="B53" s="7" t="s">
        <v>205</v>
      </c>
      <c r="C53" s="7" t="s">
        <v>206</v>
      </c>
      <c r="D53" s="7" t="s">
        <v>33</v>
      </c>
      <c r="E53" s="8">
        <v>96.49</v>
      </c>
      <c r="F53" s="8">
        <v>19.9</v>
      </c>
      <c r="G53" s="7">
        <v>0.296</v>
      </c>
      <c r="H53" s="7">
        <v>0.007937</v>
      </c>
      <c r="I53" s="7">
        <v>20.56</v>
      </c>
      <c r="J53" s="9">
        <v>0.0202</v>
      </c>
      <c r="K53" s="9">
        <v>0.0395</v>
      </c>
      <c r="L53" s="9">
        <v>0.0309</v>
      </c>
      <c r="M53" s="9">
        <v>0.0618</v>
      </c>
      <c r="N53" s="7">
        <v>0.97</v>
      </c>
      <c r="O53" s="7">
        <v>0.4486</v>
      </c>
      <c r="P53" s="7">
        <v>0.4124</v>
      </c>
      <c r="Q53" s="7">
        <v>0.3964</v>
      </c>
      <c r="R53" s="7">
        <v>0.464</v>
      </c>
      <c r="S53" s="7">
        <v>0.0545</v>
      </c>
      <c r="T53" s="7">
        <v>0.0452</v>
      </c>
      <c r="U53" s="7">
        <v>0.0478</v>
      </c>
      <c r="V53" s="7">
        <v>0.0591</v>
      </c>
      <c r="W53" s="7" t="s">
        <v>36</v>
      </c>
      <c r="X53" s="7" t="s">
        <v>59</v>
      </c>
      <c r="Y53" s="7" t="s">
        <v>41</v>
      </c>
      <c r="Z53" s="7" t="s">
        <v>41</v>
      </c>
      <c r="AA53" s="7" t="s">
        <v>41</v>
      </c>
      <c r="AB53" s="7" t="s">
        <v>41</v>
      </c>
      <c r="AC53" s="7" t="s">
        <v>41</v>
      </c>
      <c r="AD53" s="7" t="s">
        <v>41</v>
      </c>
      <c r="AE53" s="7" t="s">
        <v>41</v>
      </c>
      <c r="AF53" s="7" t="s">
        <v>41</v>
      </c>
      <c r="AG53" s="7" t="s">
        <v>41</v>
      </c>
    </row>
    <row r="54">
      <c r="A54" s="7" t="s">
        <v>207</v>
      </c>
      <c r="B54" s="7" t="s">
        <v>208</v>
      </c>
      <c r="C54" s="7" t="s">
        <v>209</v>
      </c>
      <c r="D54" s="7" t="s">
        <v>33</v>
      </c>
      <c r="E54" s="8">
        <v>20.98</v>
      </c>
      <c r="F54" s="8">
        <v>53.6</v>
      </c>
      <c r="G54" s="7">
        <v>64.417</v>
      </c>
      <c r="H54" s="7">
        <v>4.711</v>
      </c>
      <c r="I54" s="7">
        <v>7.2</v>
      </c>
      <c r="J54" s="9">
        <v>0.0696</v>
      </c>
      <c r="K54" s="7" t="s">
        <v>51</v>
      </c>
      <c r="L54" s="9">
        <v>0.0037</v>
      </c>
      <c r="M54" s="9">
        <v>0.0698</v>
      </c>
      <c r="N54" s="7">
        <v>6.98</v>
      </c>
      <c r="O54" s="7">
        <v>56.355</v>
      </c>
      <c r="P54" s="7">
        <v>54.779</v>
      </c>
      <c r="Q54" s="7">
        <v>55.005</v>
      </c>
      <c r="R54" s="7">
        <v>51.994</v>
      </c>
      <c r="S54" s="7" t="s">
        <v>41</v>
      </c>
      <c r="T54" s="7" t="s">
        <v>41</v>
      </c>
      <c r="U54" s="7" t="s">
        <v>41</v>
      </c>
      <c r="V54" s="7" t="s">
        <v>41</v>
      </c>
      <c r="W54" s="7" t="s">
        <v>35</v>
      </c>
      <c r="X54" s="7" t="s">
        <v>35</v>
      </c>
      <c r="Y54" s="7" t="s">
        <v>41</v>
      </c>
      <c r="Z54" s="7" t="s">
        <v>41</v>
      </c>
      <c r="AA54" s="7" t="s">
        <v>41</v>
      </c>
      <c r="AB54" s="7" t="s">
        <v>41</v>
      </c>
      <c r="AC54" s="7">
        <v>24.0</v>
      </c>
      <c r="AD54" s="7">
        <v>1.3</v>
      </c>
      <c r="AE54" s="7">
        <v>11.2</v>
      </c>
      <c r="AF54" s="7">
        <v>11.4</v>
      </c>
      <c r="AG54" s="7">
        <v>3.0</v>
      </c>
    </row>
    <row r="55">
      <c r="A55" s="7" t="s">
        <v>210</v>
      </c>
      <c r="B55" s="7" t="s">
        <v>211</v>
      </c>
      <c r="C55" s="7" t="s">
        <v>212</v>
      </c>
      <c r="D55" s="7" t="s">
        <v>33</v>
      </c>
      <c r="E55" s="8">
        <v>24.54</v>
      </c>
      <c r="F55" s="8">
        <v>75.0</v>
      </c>
      <c r="G55" s="7">
        <v>5.313</v>
      </c>
      <c r="H55" s="7">
        <v>0.026347</v>
      </c>
      <c r="I55" s="7">
        <v>14.97</v>
      </c>
      <c r="J55" s="9">
        <v>0.0496</v>
      </c>
      <c r="K55" s="9">
        <v>0.0643</v>
      </c>
      <c r="L55" s="9">
        <v>0.044</v>
      </c>
      <c r="M55" s="9">
        <v>0.1534</v>
      </c>
      <c r="N55" s="7">
        <v>6.67</v>
      </c>
      <c r="O55" s="7">
        <v>2.93</v>
      </c>
      <c r="P55" s="7">
        <v>2.5</v>
      </c>
      <c r="Q55" s="7">
        <v>1.53</v>
      </c>
      <c r="R55" s="7">
        <v>2.28</v>
      </c>
      <c r="S55" s="7">
        <v>0.53656</v>
      </c>
      <c r="T55" s="7">
        <v>0.37685</v>
      </c>
      <c r="U55" s="7">
        <v>-0.00944</v>
      </c>
      <c r="V55" s="7">
        <v>0.84922</v>
      </c>
      <c r="W55" s="7" t="s">
        <v>114</v>
      </c>
      <c r="X55" s="7" t="s">
        <v>59</v>
      </c>
      <c r="Y55" s="7" t="s">
        <v>41</v>
      </c>
      <c r="Z55" s="7" t="s">
        <v>41</v>
      </c>
      <c r="AA55" s="7" t="s">
        <v>41</v>
      </c>
      <c r="AB55" s="7" t="s">
        <v>41</v>
      </c>
      <c r="AC55" s="7" t="s">
        <v>41</v>
      </c>
      <c r="AD55" s="7" t="s">
        <v>41</v>
      </c>
      <c r="AE55" s="7" t="s">
        <v>41</v>
      </c>
      <c r="AF55" s="7" t="s">
        <v>41</v>
      </c>
      <c r="AG55" s="7" t="s">
        <v>41</v>
      </c>
    </row>
    <row r="56">
      <c r="A56" s="7" t="s">
        <v>213</v>
      </c>
      <c r="B56" s="7" t="s">
        <v>214</v>
      </c>
      <c r="C56" s="7" t="s">
        <v>215</v>
      </c>
      <c r="D56" s="7" t="s">
        <v>33</v>
      </c>
      <c r="E56" s="8">
        <v>17.79</v>
      </c>
      <c r="F56" s="8">
        <v>25.15</v>
      </c>
      <c r="G56" s="7">
        <v>23.76</v>
      </c>
      <c r="H56" s="7">
        <v>0.842348</v>
      </c>
      <c r="I56" s="7">
        <v>19.6</v>
      </c>
      <c r="J56" s="9">
        <v>0.0795</v>
      </c>
      <c r="K56" s="9">
        <v>0.0112</v>
      </c>
      <c r="L56" s="9">
        <v>0.0083</v>
      </c>
      <c r="M56" s="9">
        <v>0.0016</v>
      </c>
      <c r="N56" s="7">
        <v>1.14</v>
      </c>
      <c r="O56" s="7">
        <v>24.34</v>
      </c>
      <c r="P56" s="7">
        <v>20.76</v>
      </c>
      <c r="Q56" s="7">
        <v>15.35</v>
      </c>
      <c r="R56" s="7">
        <v>22.14</v>
      </c>
      <c r="S56" s="7">
        <v>3.71</v>
      </c>
      <c r="T56" s="7">
        <v>4.06</v>
      </c>
      <c r="U56" s="7">
        <v>3.23</v>
      </c>
      <c r="V56" s="7">
        <v>3.61</v>
      </c>
      <c r="W56" s="7" t="s">
        <v>34</v>
      </c>
      <c r="X56" s="7" t="s">
        <v>35</v>
      </c>
      <c r="Y56" s="7" t="s">
        <v>41</v>
      </c>
      <c r="Z56" s="7" t="s">
        <v>41</v>
      </c>
      <c r="AA56" s="7" t="s">
        <v>42</v>
      </c>
      <c r="AB56" s="7" t="s">
        <v>34</v>
      </c>
      <c r="AC56" s="7">
        <v>18.0</v>
      </c>
      <c r="AD56" s="7">
        <v>7.8</v>
      </c>
      <c r="AE56" s="7">
        <v>5.2</v>
      </c>
      <c r="AF56" s="7">
        <v>5.2</v>
      </c>
      <c r="AG56" s="7">
        <v>1.0</v>
      </c>
    </row>
    <row r="57">
      <c r="A57" s="7" t="s">
        <v>216</v>
      </c>
      <c r="B57" s="7" t="s">
        <v>217</v>
      </c>
      <c r="C57" s="7" t="s">
        <v>218</v>
      </c>
      <c r="D57" s="7" t="s">
        <v>146</v>
      </c>
      <c r="E57" s="8">
        <v>6980.0</v>
      </c>
      <c r="F57" s="8">
        <v>16545.0</v>
      </c>
      <c r="G57" s="7">
        <v>3256.0</v>
      </c>
      <c r="H57" s="7">
        <v>0.705426</v>
      </c>
      <c r="I57" s="7" t="s">
        <v>41</v>
      </c>
      <c r="J57" s="9">
        <v>0.008</v>
      </c>
      <c r="K57" s="9">
        <v>0.0368</v>
      </c>
      <c r="L57" s="9">
        <v>0.0338</v>
      </c>
      <c r="M57" s="9">
        <v>0.0888</v>
      </c>
      <c r="N57" s="7">
        <v>-1025.45</v>
      </c>
      <c r="O57" s="7">
        <v>1820.0</v>
      </c>
      <c r="P57" s="7">
        <v>1880.0</v>
      </c>
      <c r="Q57" s="7">
        <v>1840.0</v>
      </c>
      <c r="R57" s="7">
        <v>823.52</v>
      </c>
      <c r="S57" s="7">
        <v>873.21</v>
      </c>
      <c r="T57" s="7">
        <v>921.04</v>
      </c>
      <c r="U57" s="7">
        <v>874.11</v>
      </c>
      <c r="V57" s="7">
        <v>14.61</v>
      </c>
      <c r="W57" s="7" t="s">
        <v>43</v>
      </c>
      <c r="X57" s="7" t="s">
        <v>43</v>
      </c>
      <c r="Y57" s="7" t="s">
        <v>41</v>
      </c>
      <c r="Z57" s="7" t="s">
        <v>59</v>
      </c>
      <c r="AA57" s="7" t="s">
        <v>59</v>
      </c>
      <c r="AB57" s="7" t="s">
        <v>59</v>
      </c>
      <c r="AC57" s="7">
        <v>28.0</v>
      </c>
      <c r="AD57" s="7">
        <v>10.1</v>
      </c>
      <c r="AE57" s="7">
        <v>12.5</v>
      </c>
      <c r="AF57" s="7">
        <v>5.8</v>
      </c>
      <c r="AG57" s="7">
        <v>2.0</v>
      </c>
    </row>
    <row r="58">
      <c r="A58" s="7" t="s">
        <v>219</v>
      </c>
      <c r="B58" s="7" t="s">
        <v>220</v>
      </c>
      <c r="C58" s="7" t="s">
        <v>221</v>
      </c>
      <c r="D58" s="7" t="s">
        <v>124</v>
      </c>
      <c r="E58" s="8">
        <v>14.62</v>
      </c>
      <c r="F58" s="8">
        <v>127.0</v>
      </c>
      <c r="G58" s="7">
        <v>35.57</v>
      </c>
      <c r="H58" s="7">
        <v>140.827</v>
      </c>
      <c r="I58" s="7" t="s">
        <v>41</v>
      </c>
      <c r="J58" s="9">
        <v>0.0591</v>
      </c>
      <c r="K58" s="9">
        <v>-0.0021</v>
      </c>
      <c r="L58" s="9">
        <v>-0.0016</v>
      </c>
      <c r="M58" s="9">
        <v>-0.0092</v>
      </c>
      <c r="N58" s="7">
        <v>-0.5</v>
      </c>
      <c r="O58" s="7">
        <v>46.571</v>
      </c>
      <c r="P58" s="7">
        <v>43.666</v>
      </c>
      <c r="Q58" s="7">
        <v>44.974</v>
      </c>
      <c r="R58" s="7">
        <v>43.809</v>
      </c>
      <c r="S58" s="7">
        <v>12.99</v>
      </c>
      <c r="T58" s="7">
        <v>12.27</v>
      </c>
      <c r="U58" s="7">
        <v>16.55</v>
      </c>
      <c r="V58" s="7">
        <v>16.64</v>
      </c>
      <c r="W58" s="7" t="s">
        <v>34</v>
      </c>
      <c r="X58" s="7" t="s">
        <v>35</v>
      </c>
      <c r="Y58" s="7" t="s">
        <v>41</v>
      </c>
      <c r="Z58" s="7" t="s">
        <v>41</v>
      </c>
      <c r="AA58" s="7" t="s">
        <v>41</v>
      </c>
      <c r="AB58" s="7" t="s">
        <v>41</v>
      </c>
      <c r="AC58" s="7">
        <v>16.0</v>
      </c>
      <c r="AD58" s="7">
        <v>2.5</v>
      </c>
      <c r="AE58" s="7">
        <v>7.8</v>
      </c>
      <c r="AF58" s="7">
        <v>5.4</v>
      </c>
      <c r="AG58" s="7">
        <v>2.0</v>
      </c>
    </row>
    <row r="59">
      <c r="A59" s="7" t="s">
        <v>222</v>
      </c>
      <c r="B59" s="7" t="s">
        <v>223</v>
      </c>
      <c r="C59" s="7" t="s">
        <v>224</v>
      </c>
      <c r="D59" s="7" t="s">
        <v>33</v>
      </c>
      <c r="E59" s="8">
        <v>2.79</v>
      </c>
      <c r="F59" s="8">
        <v>3.84</v>
      </c>
      <c r="G59" s="7">
        <v>0.894</v>
      </c>
      <c r="H59" s="7">
        <v>0.43275</v>
      </c>
      <c r="I59" s="7" t="s">
        <v>41</v>
      </c>
      <c r="J59" s="7" t="s">
        <v>51</v>
      </c>
      <c r="K59" s="9">
        <v>0.0159</v>
      </c>
      <c r="L59" s="9">
        <v>0.0151</v>
      </c>
      <c r="M59" s="9">
        <v>0.0259</v>
      </c>
      <c r="N59" s="7">
        <v>-0.03</v>
      </c>
      <c r="O59" s="7">
        <v>0.39257</v>
      </c>
      <c r="P59" s="7">
        <v>0.42918</v>
      </c>
      <c r="Q59" s="7">
        <v>0.13682</v>
      </c>
      <c r="R59" s="7">
        <v>0.19199</v>
      </c>
      <c r="S59" s="7">
        <v>0.11255</v>
      </c>
      <c r="T59" s="7">
        <v>0.16094</v>
      </c>
      <c r="U59" s="7">
        <v>-0.01343</v>
      </c>
      <c r="V59" s="7">
        <v>0.01452</v>
      </c>
      <c r="W59" s="7" t="s">
        <v>43</v>
      </c>
      <c r="X59" s="7" t="s">
        <v>43</v>
      </c>
      <c r="Y59" s="7" t="s">
        <v>41</v>
      </c>
      <c r="Z59" s="7" t="s">
        <v>41</v>
      </c>
      <c r="AA59" s="7" t="s">
        <v>41</v>
      </c>
      <c r="AB59" s="7" t="s">
        <v>41</v>
      </c>
      <c r="AC59" s="7" t="s">
        <v>41</v>
      </c>
      <c r="AD59" s="7" t="s">
        <v>41</v>
      </c>
      <c r="AE59" s="7" t="s">
        <v>41</v>
      </c>
      <c r="AF59" s="7" t="s">
        <v>41</v>
      </c>
      <c r="AG59" s="7" t="s">
        <v>41</v>
      </c>
    </row>
    <row r="60">
      <c r="A60" s="7" t="s">
        <v>225</v>
      </c>
      <c r="B60" s="7" t="s">
        <v>226</v>
      </c>
      <c r="C60" s="7" t="s">
        <v>227</v>
      </c>
      <c r="D60" s="7" t="s">
        <v>33</v>
      </c>
      <c r="E60" s="8">
        <v>1.2049</v>
      </c>
      <c r="F60" s="8">
        <v>1.886</v>
      </c>
      <c r="G60" s="7">
        <v>5.666</v>
      </c>
      <c r="H60" s="7">
        <v>4.083</v>
      </c>
      <c r="I60" s="7">
        <v>7.4</v>
      </c>
      <c r="J60" s="9">
        <v>0.0901</v>
      </c>
      <c r="K60" s="7" t="s">
        <v>51</v>
      </c>
      <c r="L60" s="9">
        <v>0.014</v>
      </c>
      <c r="M60" s="9">
        <v>0.0732</v>
      </c>
      <c r="N60" s="7">
        <v>0.25</v>
      </c>
      <c r="O60" s="7">
        <v>21.48</v>
      </c>
      <c r="P60" s="7">
        <v>21.94</v>
      </c>
      <c r="Q60" s="7">
        <v>18.38</v>
      </c>
      <c r="R60" s="7">
        <v>19.72</v>
      </c>
      <c r="S60" s="7" t="s">
        <v>41</v>
      </c>
      <c r="T60" s="7" t="s">
        <v>41</v>
      </c>
      <c r="U60" s="7" t="s">
        <v>41</v>
      </c>
      <c r="V60" s="7" t="s">
        <v>41</v>
      </c>
      <c r="W60" s="7" t="s">
        <v>43</v>
      </c>
      <c r="X60" s="7" t="s">
        <v>43</v>
      </c>
      <c r="Y60" s="7" t="s">
        <v>41</v>
      </c>
      <c r="Z60" s="7" t="s">
        <v>41</v>
      </c>
      <c r="AA60" s="7" t="s">
        <v>41</v>
      </c>
      <c r="AB60" s="7" t="s">
        <v>41</v>
      </c>
      <c r="AC60" s="7">
        <v>21.0</v>
      </c>
      <c r="AD60" s="7">
        <v>2.0</v>
      </c>
      <c r="AE60" s="7">
        <v>8.3</v>
      </c>
      <c r="AF60" s="7">
        <v>10.9</v>
      </c>
      <c r="AG60" s="7">
        <v>2.0</v>
      </c>
    </row>
    <row r="61">
      <c r="A61" s="7" t="s">
        <v>228</v>
      </c>
      <c r="B61" s="7" t="s">
        <v>229</v>
      </c>
      <c r="C61" s="7" t="s">
        <v>230</v>
      </c>
      <c r="D61" s="7" t="s">
        <v>33</v>
      </c>
      <c r="E61" s="8">
        <v>17.12</v>
      </c>
      <c r="F61" s="8">
        <v>12.05</v>
      </c>
      <c r="G61" s="7">
        <v>2.67</v>
      </c>
      <c r="H61" s="7">
        <v>1.236</v>
      </c>
      <c r="I61" s="7">
        <v>5.96</v>
      </c>
      <c r="J61" s="9">
        <v>0.0664</v>
      </c>
      <c r="K61" s="9">
        <v>0.0736</v>
      </c>
      <c r="L61" s="9">
        <v>0.0551</v>
      </c>
      <c r="M61" s="9">
        <v>0.3096</v>
      </c>
      <c r="N61" s="7">
        <v>1.98</v>
      </c>
      <c r="O61" s="7">
        <v>4.01</v>
      </c>
      <c r="P61" s="7">
        <v>4.14</v>
      </c>
      <c r="Q61" s="7">
        <v>4.05</v>
      </c>
      <c r="R61" s="7">
        <v>4.49</v>
      </c>
      <c r="S61" s="7">
        <v>0.523</v>
      </c>
      <c r="T61" s="7">
        <v>0.805</v>
      </c>
      <c r="U61" s="7">
        <v>0.675</v>
      </c>
      <c r="V61" s="7">
        <v>0.83</v>
      </c>
      <c r="W61" s="7" t="s">
        <v>55</v>
      </c>
      <c r="X61" s="7" t="s">
        <v>55</v>
      </c>
      <c r="Y61" s="7" t="s">
        <v>41</v>
      </c>
      <c r="Z61" s="7" t="s">
        <v>41</v>
      </c>
      <c r="AA61" s="7" t="s">
        <v>41</v>
      </c>
      <c r="AB61" s="7" t="s">
        <v>41</v>
      </c>
      <c r="AC61" s="7">
        <v>12.0</v>
      </c>
      <c r="AD61" s="7">
        <v>0.1</v>
      </c>
      <c r="AE61" s="7">
        <v>5.3</v>
      </c>
      <c r="AF61" s="7">
        <v>6.1</v>
      </c>
      <c r="AG61" s="7">
        <v>2.0</v>
      </c>
    </row>
    <row r="62">
      <c r="A62" s="7" t="s">
        <v>231</v>
      </c>
      <c r="B62" s="7" t="s">
        <v>232</v>
      </c>
      <c r="C62" s="7" t="s">
        <v>233</v>
      </c>
      <c r="D62" s="7" t="s">
        <v>33</v>
      </c>
      <c r="E62" s="8">
        <v>0.09</v>
      </c>
      <c r="F62" s="8">
        <v>8.05</v>
      </c>
      <c r="G62" s="7">
        <v>0.856</v>
      </c>
      <c r="H62" s="7">
        <v>1.231</v>
      </c>
      <c r="I62" s="7">
        <v>22.41</v>
      </c>
      <c r="J62" s="7" t="s">
        <v>51</v>
      </c>
      <c r="K62" s="9">
        <v>0.1428</v>
      </c>
      <c r="L62" s="9">
        <v>0.0594</v>
      </c>
      <c r="M62" s="9">
        <v>0.3241</v>
      </c>
      <c r="N62" s="7">
        <v>0.32</v>
      </c>
      <c r="O62" s="7">
        <v>0.45182</v>
      </c>
      <c r="P62" s="7">
        <v>0.69141</v>
      </c>
      <c r="Q62" s="7">
        <v>0.81928</v>
      </c>
      <c r="R62" s="7">
        <v>0.8738</v>
      </c>
      <c r="S62" s="7">
        <v>0.02516</v>
      </c>
      <c r="T62" s="7">
        <v>0.06757</v>
      </c>
      <c r="U62" s="7">
        <v>0.09023</v>
      </c>
      <c r="V62" s="7" t="s">
        <v>41</v>
      </c>
      <c r="W62" s="7" t="s">
        <v>41</v>
      </c>
      <c r="X62" s="7" t="s">
        <v>41</v>
      </c>
      <c r="Y62" s="7" t="s">
        <v>41</v>
      </c>
      <c r="Z62" s="7" t="s">
        <v>41</v>
      </c>
      <c r="AA62" s="7" t="s">
        <v>41</v>
      </c>
      <c r="AB62" s="7" t="s">
        <v>41</v>
      </c>
      <c r="AC62" s="7" t="s">
        <v>41</v>
      </c>
      <c r="AD62" s="7" t="s">
        <v>41</v>
      </c>
      <c r="AE62" s="7" t="s">
        <v>41</v>
      </c>
      <c r="AF62" s="7" t="s">
        <v>41</v>
      </c>
      <c r="AG62" s="7" t="s">
        <v>41</v>
      </c>
    </row>
    <row r="63">
      <c r="A63" s="7" t="s">
        <v>234</v>
      </c>
      <c r="B63" s="7" t="s">
        <v>235</v>
      </c>
      <c r="C63" s="7" t="s">
        <v>236</v>
      </c>
      <c r="D63" s="7" t="s">
        <v>40</v>
      </c>
      <c r="E63" s="8">
        <v>974.25</v>
      </c>
      <c r="F63" s="8">
        <v>2201.96</v>
      </c>
      <c r="G63" s="7">
        <v>88.522</v>
      </c>
      <c r="H63" s="7">
        <v>0.46536</v>
      </c>
      <c r="I63" s="7">
        <v>78.65</v>
      </c>
      <c r="J63" s="7" t="s">
        <v>51</v>
      </c>
      <c r="K63" s="9">
        <v>0.1481</v>
      </c>
      <c r="L63" s="9">
        <v>0.1214</v>
      </c>
      <c r="M63" s="9">
        <v>0.3535</v>
      </c>
      <c r="N63" s="7">
        <v>28.39</v>
      </c>
      <c r="O63" s="7">
        <v>14.53</v>
      </c>
      <c r="P63" s="7">
        <v>15.07</v>
      </c>
      <c r="Q63" s="7">
        <v>6.8</v>
      </c>
      <c r="R63" s="7">
        <v>10.96</v>
      </c>
      <c r="S63" s="7">
        <v>5.77</v>
      </c>
      <c r="T63" s="7">
        <v>5.99</v>
      </c>
      <c r="U63" s="7">
        <v>1.1</v>
      </c>
      <c r="V63" s="7">
        <v>3.24</v>
      </c>
      <c r="W63" s="7" t="s">
        <v>41</v>
      </c>
      <c r="X63" s="7" t="s">
        <v>41</v>
      </c>
      <c r="Y63" s="7" t="s">
        <v>41</v>
      </c>
      <c r="Z63" s="7" t="s">
        <v>41</v>
      </c>
      <c r="AA63" s="7" t="s">
        <v>41</v>
      </c>
      <c r="AB63" s="7" t="s">
        <v>41</v>
      </c>
      <c r="AC63" s="7">
        <v>22.0</v>
      </c>
      <c r="AD63" s="7">
        <v>2.0</v>
      </c>
      <c r="AE63" s="7">
        <v>12.4</v>
      </c>
      <c r="AF63" s="7">
        <v>7.2</v>
      </c>
      <c r="AG63" s="7">
        <v>2.0</v>
      </c>
    </row>
    <row r="64">
      <c r="A64" s="7" t="s">
        <v>237</v>
      </c>
      <c r="B64" s="7" t="s">
        <v>238</v>
      </c>
      <c r="C64" s="7" t="s">
        <v>239</v>
      </c>
      <c r="D64" s="7" t="s">
        <v>33</v>
      </c>
      <c r="E64" s="8">
        <v>13.6</v>
      </c>
      <c r="F64" s="8">
        <v>5.39</v>
      </c>
      <c r="G64" s="7">
        <v>0.896</v>
      </c>
      <c r="H64" s="7">
        <v>0.139815</v>
      </c>
      <c r="I64" s="7">
        <v>70.62</v>
      </c>
      <c r="J64" s="9">
        <v>0.0077</v>
      </c>
      <c r="K64" s="9">
        <v>0.067</v>
      </c>
      <c r="L64" s="9">
        <v>0.0379</v>
      </c>
      <c r="M64" s="9">
        <v>0.1072</v>
      </c>
      <c r="N64" s="7">
        <v>0.08</v>
      </c>
      <c r="O64" s="7">
        <v>0.19073</v>
      </c>
      <c r="P64" s="7">
        <v>0.21734</v>
      </c>
      <c r="Q64" s="7">
        <v>0.2202</v>
      </c>
      <c r="R64" s="7">
        <v>0.23627</v>
      </c>
      <c r="S64" s="7">
        <v>0.01413</v>
      </c>
      <c r="T64" s="7">
        <v>0.0171</v>
      </c>
      <c r="U64" s="7">
        <v>0.03359</v>
      </c>
      <c r="V64" s="7">
        <v>0.03428</v>
      </c>
      <c r="W64" s="7" t="s">
        <v>41</v>
      </c>
      <c r="X64" s="7" t="s">
        <v>41</v>
      </c>
      <c r="Y64" s="7" t="s">
        <v>41</v>
      </c>
      <c r="Z64" s="7" t="s">
        <v>41</v>
      </c>
      <c r="AA64" s="7" t="s">
        <v>41</v>
      </c>
      <c r="AB64" s="7" t="s">
        <v>41</v>
      </c>
      <c r="AC64" s="7" t="s">
        <v>41</v>
      </c>
      <c r="AD64" s="7" t="s">
        <v>41</v>
      </c>
      <c r="AE64" s="7" t="s">
        <v>41</v>
      </c>
      <c r="AF64" s="7" t="s">
        <v>41</v>
      </c>
      <c r="AG64" s="7" t="s">
        <v>41</v>
      </c>
    </row>
    <row r="65">
      <c r="A65" s="7" t="s">
        <v>240</v>
      </c>
      <c r="B65" s="7" t="s">
        <v>241</v>
      </c>
      <c r="C65" s="7" t="s">
        <v>242</v>
      </c>
      <c r="D65" s="7" t="s">
        <v>33</v>
      </c>
      <c r="E65" s="8">
        <v>16.16</v>
      </c>
      <c r="F65" s="8">
        <v>11.05</v>
      </c>
      <c r="G65" s="7">
        <v>32.821</v>
      </c>
      <c r="H65" s="7">
        <v>9.026</v>
      </c>
      <c r="I65" s="7">
        <v>5.91</v>
      </c>
      <c r="J65" s="9">
        <v>0.0724</v>
      </c>
      <c r="K65" s="7" t="s">
        <v>51</v>
      </c>
      <c r="L65" s="9">
        <v>0.0029</v>
      </c>
      <c r="M65" s="9">
        <v>0.0633</v>
      </c>
      <c r="N65" s="7">
        <v>1.83</v>
      </c>
      <c r="O65" s="7">
        <v>25.9</v>
      </c>
      <c r="P65" s="7">
        <v>26.61</v>
      </c>
      <c r="Q65" s="7">
        <v>24.47</v>
      </c>
      <c r="R65" s="7">
        <v>22.66</v>
      </c>
      <c r="S65" s="7" t="s">
        <v>41</v>
      </c>
      <c r="T65" s="7" t="s">
        <v>41</v>
      </c>
      <c r="U65" s="7" t="s">
        <v>41</v>
      </c>
      <c r="V65" s="7" t="s">
        <v>41</v>
      </c>
      <c r="W65" s="7" t="s">
        <v>35</v>
      </c>
      <c r="X65" s="7" t="s">
        <v>43</v>
      </c>
      <c r="Y65" s="7" t="s">
        <v>41</v>
      </c>
      <c r="Z65" s="7" t="s">
        <v>41</v>
      </c>
      <c r="AA65" s="7" t="s">
        <v>41</v>
      </c>
      <c r="AB65" s="7" t="s">
        <v>41</v>
      </c>
      <c r="AC65" s="7">
        <v>25.0</v>
      </c>
      <c r="AD65" s="7">
        <v>1.5</v>
      </c>
      <c r="AE65" s="7">
        <v>10.6</v>
      </c>
      <c r="AF65" s="7">
        <v>12.9</v>
      </c>
      <c r="AG65" s="7">
        <v>3.0</v>
      </c>
    </row>
    <row r="66">
      <c r="A66" s="7" t="s">
        <v>243</v>
      </c>
      <c r="B66" s="7" t="s">
        <v>244</v>
      </c>
      <c r="C66" s="7" t="s">
        <v>245</v>
      </c>
      <c r="D66" s="7" t="s">
        <v>33</v>
      </c>
      <c r="E66" s="8">
        <v>9.75</v>
      </c>
      <c r="F66" s="8">
        <v>26.64</v>
      </c>
      <c r="G66" s="7">
        <v>12.037</v>
      </c>
      <c r="H66" s="7">
        <v>0.809</v>
      </c>
      <c r="I66" s="7">
        <v>28.91</v>
      </c>
      <c r="J66" s="9">
        <v>0.0199</v>
      </c>
      <c r="K66" s="9">
        <v>0.0764</v>
      </c>
      <c r="L66" s="9">
        <v>0.0531</v>
      </c>
      <c r="M66" s="9">
        <v>0.2673</v>
      </c>
      <c r="N66" s="7">
        <v>0.93</v>
      </c>
      <c r="O66" s="7">
        <v>4.8</v>
      </c>
      <c r="P66" s="7">
        <v>5.1</v>
      </c>
      <c r="Q66" s="7">
        <v>4.6</v>
      </c>
      <c r="R66" s="7">
        <v>4.98</v>
      </c>
      <c r="S66" s="7">
        <v>0.8123</v>
      </c>
      <c r="T66" s="7">
        <v>1.0</v>
      </c>
      <c r="U66" s="7">
        <v>0.8162</v>
      </c>
      <c r="V66" s="7">
        <v>0.9732</v>
      </c>
      <c r="W66" s="7" t="s">
        <v>43</v>
      </c>
      <c r="X66" s="7" t="s">
        <v>43</v>
      </c>
      <c r="Y66" s="7" t="s">
        <v>41</v>
      </c>
      <c r="Z66" s="7" t="s">
        <v>41</v>
      </c>
      <c r="AA66" s="7" t="s">
        <v>41</v>
      </c>
      <c r="AB66" s="7" t="s">
        <v>41</v>
      </c>
      <c r="AC66" s="7">
        <v>11.0</v>
      </c>
      <c r="AD66" s="7">
        <v>0.1</v>
      </c>
      <c r="AE66" s="7">
        <v>6.3</v>
      </c>
      <c r="AF66" s="7">
        <v>4.8</v>
      </c>
      <c r="AG66" s="7">
        <v>2.0</v>
      </c>
    </row>
    <row r="67">
      <c r="A67" s="7" t="s">
        <v>246</v>
      </c>
      <c r="B67" s="7" t="s">
        <v>247</v>
      </c>
      <c r="C67" s="7" t="s">
        <v>248</v>
      </c>
      <c r="D67" s="7" t="s">
        <v>249</v>
      </c>
      <c r="E67" s="8">
        <v>6.206</v>
      </c>
      <c r="F67" s="8">
        <v>6.206</v>
      </c>
      <c r="G67" s="7">
        <v>22.696</v>
      </c>
      <c r="H67" s="7">
        <v>1.646</v>
      </c>
      <c r="I67" s="7">
        <v>19.04</v>
      </c>
      <c r="J67" s="7" t="s">
        <v>51</v>
      </c>
      <c r="K67" s="9">
        <v>9.0E-4</v>
      </c>
      <c r="L67" s="9">
        <v>7.0E-4</v>
      </c>
      <c r="M67" s="9">
        <v>0.0048</v>
      </c>
      <c r="N67" s="7">
        <v>-1.01</v>
      </c>
      <c r="O67" s="7">
        <v>2.518</v>
      </c>
      <c r="P67" s="7">
        <v>2.431</v>
      </c>
      <c r="Q67" s="7">
        <v>1.033</v>
      </c>
      <c r="R67" s="7">
        <v>1.241</v>
      </c>
      <c r="S67" s="7">
        <v>0.665</v>
      </c>
      <c r="T67" s="7">
        <v>0.584</v>
      </c>
      <c r="U67" s="7">
        <v>-0.0849</v>
      </c>
      <c r="V67" s="7">
        <v>0.133</v>
      </c>
      <c r="W67" s="7" t="s">
        <v>42</v>
      </c>
      <c r="X67" s="7" t="s">
        <v>52</v>
      </c>
      <c r="Y67" s="7" t="s">
        <v>59</v>
      </c>
      <c r="Z67" s="7" t="s">
        <v>59</v>
      </c>
      <c r="AA67" s="7" t="s">
        <v>43</v>
      </c>
      <c r="AB67" s="7" t="s">
        <v>52</v>
      </c>
      <c r="AC67" s="7" t="s">
        <v>41</v>
      </c>
      <c r="AD67" s="7" t="s">
        <v>41</v>
      </c>
      <c r="AE67" s="7" t="s">
        <v>41</v>
      </c>
      <c r="AF67" s="7" t="s">
        <v>41</v>
      </c>
      <c r="AG67" s="7" t="s">
        <v>41</v>
      </c>
    </row>
    <row r="68">
      <c r="A68" s="7" t="s">
        <v>250</v>
      </c>
      <c r="B68" s="7" t="s">
        <v>251</v>
      </c>
      <c r="C68" s="7" t="s">
        <v>252</v>
      </c>
      <c r="D68" s="7" t="s">
        <v>33</v>
      </c>
      <c r="E68" s="8">
        <v>46.25</v>
      </c>
      <c r="F68" s="8">
        <v>30.56</v>
      </c>
      <c r="G68" s="7">
        <v>27.548</v>
      </c>
      <c r="H68" s="7">
        <v>6.279</v>
      </c>
      <c r="I68" s="7">
        <v>2.47</v>
      </c>
      <c r="J68" s="9">
        <v>0.0109</v>
      </c>
      <c r="K68" s="9">
        <v>0.0728</v>
      </c>
      <c r="L68" s="9">
        <v>0.0524</v>
      </c>
      <c r="M68" s="9">
        <v>0.1089</v>
      </c>
      <c r="N68" s="7">
        <v>12.27</v>
      </c>
      <c r="O68" s="7">
        <v>76.033</v>
      </c>
      <c r="P68" s="7">
        <v>70.615</v>
      </c>
      <c r="Q68" s="7">
        <v>53.27</v>
      </c>
      <c r="R68" s="7">
        <v>76.571</v>
      </c>
      <c r="S68" s="7">
        <v>10.265</v>
      </c>
      <c r="T68" s="7">
        <v>5.195</v>
      </c>
      <c r="U68" s="7">
        <v>4.301</v>
      </c>
      <c r="V68" s="7">
        <v>19.404</v>
      </c>
      <c r="W68" s="7" t="s">
        <v>35</v>
      </c>
      <c r="X68" s="7" t="s">
        <v>43</v>
      </c>
      <c r="Y68" s="7" t="s">
        <v>59</v>
      </c>
      <c r="Z68" s="7" t="s">
        <v>59</v>
      </c>
      <c r="AA68" s="7" t="s">
        <v>44</v>
      </c>
      <c r="AB68" s="7" t="s">
        <v>52</v>
      </c>
      <c r="AC68" s="7">
        <v>37.0</v>
      </c>
      <c r="AD68" s="7">
        <v>15.6</v>
      </c>
      <c r="AE68" s="7">
        <v>14.9</v>
      </c>
      <c r="AF68" s="7">
        <v>6.5</v>
      </c>
      <c r="AG68" s="7">
        <v>4.0</v>
      </c>
    </row>
    <row r="69">
      <c r="A69" s="7" t="s">
        <v>253</v>
      </c>
      <c r="B69" s="7" t="s">
        <v>254</v>
      </c>
      <c r="C69" s="7" t="s">
        <v>255</v>
      </c>
      <c r="D69" s="7" t="s">
        <v>40</v>
      </c>
      <c r="E69" s="8">
        <v>45.0</v>
      </c>
      <c r="F69" s="8">
        <v>151.42</v>
      </c>
      <c r="G69" s="7">
        <v>41.705</v>
      </c>
      <c r="H69" s="7">
        <v>2.742</v>
      </c>
      <c r="I69" s="7">
        <v>102.33</v>
      </c>
      <c r="J69" s="7" t="s">
        <v>51</v>
      </c>
      <c r="K69" s="9">
        <v>0.0273</v>
      </c>
      <c r="L69" s="9">
        <v>0.0228</v>
      </c>
      <c r="M69" s="9">
        <v>0.6547</v>
      </c>
      <c r="N69" s="7">
        <v>1.47</v>
      </c>
      <c r="O69" s="7">
        <v>8.91</v>
      </c>
      <c r="P69" s="7">
        <v>9.48</v>
      </c>
      <c r="Q69" s="7">
        <v>4.34</v>
      </c>
      <c r="R69" s="7">
        <v>5.82</v>
      </c>
      <c r="S69" s="7">
        <v>1.76</v>
      </c>
      <c r="T69" s="7">
        <v>1.95</v>
      </c>
      <c r="U69" s="7">
        <v>0.241</v>
      </c>
      <c r="V69" s="7">
        <v>1.24</v>
      </c>
      <c r="W69" s="7" t="s">
        <v>43</v>
      </c>
      <c r="X69" s="7" t="s">
        <v>43</v>
      </c>
      <c r="Y69" s="7" t="s">
        <v>256</v>
      </c>
      <c r="Z69" s="7" t="s">
        <v>44</v>
      </c>
      <c r="AA69" s="7" t="s">
        <v>35</v>
      </c>
      <c r="AB69" s="7" t="s">
        <v>44</v>
      </c>
      <c r="AC69" s="7">
        <v>20.0</v>
      </c>
      <c r="AD69" s="7">
        <v>7.9</v>
      </c>
      <c r="AE69" s="7">
        <v>8.1</v>
      </c>
      <c r="AF69" s="7">
        <v>3.9</v>
      </c>
      <c r="AG69" s="7">
        <v>2.0</v>
      </c>
    </row>
    <row r="70">
      <c r="A70" s="7" t="s">
        <v>257</v>
      </c>
      <c r="B70" s="7" t="s">
        <v>258</v>
      </c>
      <c r="C70" s="7" t="s">
        <v>259</v>
      </c>
      <c r="D70" s="7" t="s">
        <v>249</v>
      </c>
      <c r="E70" s="8">
        <v>9.57</v>
      </c>
      <c r="F70" s="8">
        <v>5.83</v>
      </c>
      <c r="G70" s="7">
        <v>30.091</v>
      </c>
      <c r="H70" s="7">
        <v>11.602</v>
      </c>
      <c r="I70" s="7">
        <v>5.9</v>
      </c>
      <c r="J70" s="7" t="s">
        <v>51</v>
      </c>
      <c r="K70" s="9">
        <v>0.051</v>
      </c>
      <c r="L70" s="9">
        <v>0.0398</v>
      </c>
      <c r="M70" s="9">
        <v>1.077</v>
      </c>
      <c r="N70" s="7">
        <v>-1.4</v>
      </c>
      <c r="O70" s="7">
        <v>39.632</v>
      </c>
      <c r="P70" s="7">
        <v>35.817</v>
      </c>
      <c r="Q70" s="7">
        <v>7.598</v>
      </c>
      <c r="R70" s="7">
        <v>11.771</v>
      </c>
      <c r="S70" s="7">
        <v>12.372</v>
      </c>
      <c r="T70" s="7">
        <v>10.701</v>
      </c>
      <c r="U70" s="7">
        <v>-1.836</v>
      </c>
      <c r="V70" s="7">
        <v>0.748</v>
      </c>
      <c r="W70" s="7" t="s">
        <v>59</v>
      </c>
      <c r="X70" s="7" t="s">
        <v>59</v>
      </c>
      <c r="Y70" s="7" t="s">
        <v>41</v>
      </c>
      <c r="Z70" s="7" t="s">
        <v>59</v>
      </c>
      <c r="AA70" s="7" t="s">
        <v>41</v>
      </c>
      <c r="AB70" s="7" t="s">
        <v>41</v>
      </c>
      <c r="AC70" s="7">
        <v>21.0</v>
      </c>
      <c r="AD70" s="7">
        <v>2.2</v>
      </c>
      <c r="AE70" s="7">
        <v>9.8</v>
      </c>
      <c r="AF70" s="7">
        <v>8.6</v>
      </c>
      <c r="AG70" s="7">
        <v>3.0</v>
      </c>
    </row>
    <row r="71">
      <c r="A71" s="7" t="s">
        <v>260</v>
      </c>
      <c r="B71" s="7" t="s">
        <v>261</v>
      </c>
      <c r="C71" s="7" t="s">
        <v>262</v>
      </c>
      <c r="D71" s="7" t="s">
        <v>33</v>
      </c>
      <c r="E71" s="8">
        <v>29.5119</v>
      </c>
      <c r="F71" s="8">
        <v>4.245</v>
      </c>
      <c r="G71" s="7">
        <v>24.223</v>
      </c>
      <c r="H71" s="7">
        <v>18.955</v>
      </c>
      <c r="I71" s="7">
        <v>3.06</v>
      </c>
      <c r="J71" s="9">
        <v>0.0707</v>
      </c>
      <c r="K71" s="9">
        <v>0.0571</v>
      </c>
      <c r="L71" s="9">
        <v>0.038</v>
      </c>
      <c r="M71" s="9">
        <v>0.1902</v>
      </c>
      <c r="N71" s="7">
        <v>1.38</v>
      </c>
      <c r="O71" s="7">
        <v>48.69</v>
      </c>
      <c r="P71" s="7">
        <v>48.42</v>
      </c>
      <c r="Q71" s="7">
        <v>43.08</v>
      </c>
      <c r="R71" s="7">
        <v>39.28</v>
      </c>
      <c r="S71" s="7">
        <v>15.85</v>
      </c>
      <c r="T71" s="7">
        <v>15.92</v>
      </c>
      <c r="U71" s="7">
        <v>15.92</v>
      </c>
      <c r="V71" s="7">
        <v>12.39</v>
      </c>
      <c r="W71" s="7" t="s">
        <v>34</v>
      </c>
      <c r="X71" s="7" t="s">
        <v>34</v>
      </c>
      <c r="Y71" s="7" t="s">
        <v>41</v>
      </c>
      <c r="Z71" s="7" t="s">
        <v>41</v>
      </c>
      <c r="AA71" s="7" t="s">
        <v>41</v>
      </c>
      <c r="AB71" s="7" t="s">
        <v>41</v>
      </c>
      <c r="AC71" s="7">
        <v>17.0</v>
      </c>
      <c r="AD71" s="7">
        <v>1.6</v>
      </c>
      <c r="AE71" s="7">
        <v>9.2</v>
      </c>
      <c r="AF71" s="7">
        <v>6.6</v>
      </c>
      <c r="AG71" s="7">
        <v>2.0</v>
      </c>
    </row>
    <row r="72">
      <c r="A72" s="7" t="s">
        <v>263</v>
      </c>
      <c r="B72" s="7" t="s">
        <v>264</v>
      </c>
      <c r="C72" s="7" t="s">
        <v>265</v>
      </c>
      <c r="D72" s="7" t="s">
        <v>33</v>
      </c>
      <c r="E72" s="8">
        <v>10.45</v>
      </c>
      <c r="F72" s="8">
        <v>10.05</v>
      </c>
      <c r="G72" s="7">
        <v>1.035</v>
      </c>
      <c r="H72" s="7">
        <v>0.77326</v>
      </c>
      <c r="I72" s="7">
        <v>14.55</v>
      </c>
      <c r="J72" s="7" t="s">
        <v>51</v>
      </c>
      <c r="K72" s="9">
        <v>-0.0352</v>
      </c>
      <c r="L72" s="9">
        <v>-0.0257</v>
      </c>
      <c r="M72" s="9">
        <v>-0.0655</v>
      </c>
      <c r="N72" s="7">
        <v>0.59</v>
      </c>
      <c r="O72" s="7">
        <v>1.55</v>
      </c>
      <c r="P72" s="7">
        <v>1.63</v>
      </c>
      <c r="Q72" s="7">
        <v>1.39</v>
      </c>
      <c r="R72" s="7">
        <v>1.46</v>
      </c>
      <c r="S72" s="7">
        <v>0.10834</v>
      </c>
      <c r="T72" s="7">
        <v>0.16743</v>
      </c>
      <c r="U72" s="7">
        <v>0.12373</v>
      </c>
      <c r="V72" s="7">
        <v>0.15536</v>
      </c>
      <c r="W72" s="7" t="s">
        <v>52</v>
      </c>
      <c r="X72" s="7" t="s">
        <v>266</v>
      </c>
      <c r="Y72" s="7" t="s">
        <v>41</v>
      </c>
      <c r="Z72" s="7" t="s">
        <v>41</v>
      </c>
      <c r="AA72" s="7" t="s">
        <v>41</v>
      </c>
      <c r="AB72" s="7" t="s">
        <v>41</v>
      </c>
      <c r="AC72" s="7" t="s">
        <v>41</v>
      </c>
      <c r="AD72" s="7" t="s">
        <v>41</v>
      </c>
      <c r="AE72" s="7" t="s">
        <v>41</v>
      </c>
      <c r="AF72" s="7" t="s">
        <v>41</v>
      </c>
      <c r="AG72" s="7" t="s">
        <v>41</v>
      </c>
    </row>
    <row r="73">
      <c r="A73" s="7" t="s">
        <v>267</v>
      </c>
      <c r="B73" s="7" t="s">
        <v>268</v>
      </c>
      <c r="C73" s="7" t="s">
        <v>269</v>
      </c>
      <c r="D73" s="7" t="s">
        <v>33</v>
      </c>
      <c r="E73" s="8">
        <v>37.9</v>
      </c>
      <c r="F73" s="8">
        <v>31.12</v>
      </c>
      <c r="G73" s="7">
        <v>6.761</v>
      </c>
      <c r="H73" s="7">
        <v>0.413416</v>
      </c>
      <c r="I73" s="7">
        <v>13.13</v>
      </c>
      <c r="J73" s="7" t="s">
        <v>51</v>
      </c>
      <c r="K73" s="9">
        <v>0.0258</v>
      </c>
      <c r="L73" s="9">
        <v>0.0183</v>
      </c>
      <c r="M73" s="9">
        <v>-0.015</v>
      </c>
      <c r="N73" s="7">
        <v>2.47</v>
      </c>
      <c r="O73" s="7">
        <v>3.253</v>
      </c>
      <c r="P73" s="7">
        <v>3.032</v>
      </c>
      <c r="Q73" s="7">
        <v>3.474</v>
      </c>
      <c r="R73" s="7">
        <v>6.319</v>
      </c>
      <c r="S73" s="7">
        <v>0.929</v>
      </c>
      <c r="T73" s="7">
        <v>0.748</v>
      </c>
      <c r="U73" s="7">
        <v>0.87</v>
      </c>
      <c r="V73" s="7">
        <v>2.527</v>
      </c>
      <c r="W73" s="7" t="s">
        <v>41</v>
      </c>
      <c r="X73" s="7" t="s">
        <v>41</v>
      </c>
      <c r="Y73" s="7" t="s">
        <v>41</v>
      </c>
      <c r="Z73" s="7" t="s">
        <v>41</v>
      </c>
      <c r="AA73" s="7" t="s">
        <v>41</v>
      </c>
      <c r="AB73" s="7" t="s">
        <v>41</v>
      </c>
      <c r="AC73" s="7" t="s">
        <v>41</v>
      </c>
      <c r="AD73" s="7" t="s">
        <v>41</v>
      </c>
      <c r="AE73" s="7" t="s">
        <v>41</v>
      </c>
      <c r="AF73" s="7" t="s">
        <v>41</v>
      </c>
      <c r="AG73" s="7" t="s">
        <v>41</v>
      </c>
    </row>
    <row r="74">
      <c r="A74" s="7" t="s">
        <v>270</v>
      </c>
      <c r="B74" s="7" t="s">
        <v>271</v>
      </c>
      <c r="C74" s="7" t="s">
        <v>272</v>
      </c>
      <c r="D74" s="7" t="s">
        <v>146</v>
      </c>
      <c r="E74" s="8">
        <v>3280.0</v>
      </c>
      <c r="F74" s="8">
        <v>5123.0</v>
      </c>
      <c r="G74" s="7">
        <v>1274.0</v>
      </c>
      <c r="H74" s="7">
        <v>1.43</v>
      </c>
      <c r="I74" s="7" t="s">
        <v>41</v>
      </c>
      <c r="J74" s="9">
        <v>0.0191</v>
      </c>
      <c r="K74" s="9">
        <v>0.0143</v>
      </c>
      <c r="L74" s="9">
        <v>0.0113</v>
      </c>
      <c r="M74" s="9">
        <v>0.032</v>
      </c>
      <c r="N74" s="7">
        <v>-1219.71</v>
      </c>
      <c r="O74" s="7">
        <v>1500.0</v>
      </c>
      <c r="P74" s="7">
        <v>1530.0</v>
      </c>
      <c r="Q74" s="7">
        <v>1510.0</v>
      </c>
      <c r="R74" s="7">
        <v>898.17</v>
      </c>
      <c r="S74" s="7">
        <v>356.13</v>
      </c>
      <c r="T74" s="7">
        <v>361.33</v>
      </c>
      <c r="U74" s="7">
        <v>332.27</v>
      </c>
      <c r="V74" s="7">
        <v>-70.88</v>
      </c>
      <c r="W74" s="7" t="s">
        <v>42</v>
      </c>
      <c r="X74" s="7" t="s">
        <v>43</v>
      </c>
      <c r="Y74" s="7" t="s">
        <v>41</v>
      </c>
      <c r="Z74" s="7" t="s">
        <v>41</v>
      </c>
      <c r="AA74" s="7" t="s">
        <v>59</v>
      </c>
      <c r="AB74" s="7" t="s">
        <v>59</v>
      </c>
      <c r="AC74" s="7">
        <v>25.0</v>
      </c>
      <c r="AD74" s="7">
        <v>8.6</v>
      </c>
      <c r="AE74" s="7">
        <v>10.8</v>
      </c>
      <c r="AF74" s="7">
        <v>5.3</v>
      </c>
      <c r="AG74" s="7">
        <v>1.0</v>
      </c>
    </row>
    <row r="75">
      <c r="A75" s="7" t="s">
        <v>273</v>
      </c>
      <c r="B75" s="7" t="s">
        <v>274</v>
      </c>
      <c r="C75" s="7" t="s">
        <v>275</v>
      </c>
      <c r="D75" s="7" t="s">
        <v>40</v>
      </c>
      <c r="E75" s="8">
        <v>10.1</v>
      </c>
      <c r="F75" s="8">
        <v>14.42</v>
      </c>
      <c r="G75" s="7">
        <v>0.720872</v>
      </c>
      <c r="H75" s="7">
        <v>0.273515</v>
      </c>
      <c r="I75" s="7" t="s">
        <v>41</v>
      </c>
      <c r="J75" s="7" t="s">
        <v>51</v>
      </c>
      <c r="K75" s="9">
        <v>-0.0957</v>
      </c>
      <c r="L75" s="9">
        <v>-0.0654</v>
      </c>
      <c r="M75" s="9">
        <v>-0.1504</v>
      </c>
      <c r="N75" s="7">
        <v>-2.49</v>
      </c>
      <c r="O75" s="7">
        <v>0.30973</v>
      </c>
      <c r="P75" s="7">
        <v>0.34309</v>
      </c>
      <c r="Q75" s="7">
        <v>0.08236</v>
      </c>
      <c r="R75" s="7">
        <v>0.14711</v>
      </c>
      <c r="S75" s="7">
        <v>0.04711</v>
      </c>
      <c r="T75" s="7">
        <v>0.05906</v>
      </c>
      <c r="U75" s="7">
        <v>-0.05627</v>
      </c>
      <c r="V75" s="7">
        <v>-0.07029</v>
      </c>
      <c r="W75" s="7" t="s">
        <v>41</v>
      </c>
      <c r="X75" s="7" t="s">
        <v>41</v>
      </c>
      <c r="Y75" s="7" t="s">
        <v>41</v>
      </c>
      <c r="Z75" s="7" t="s">
        <v>41</v>
      </c>
      <c r="AA75" s="7" t="s">
        <v>41</v>
      </c>
      <c r="AB75" s="7" t="s">
        <v>41</v>
      </c>
      <c r="AC75" s="7" t="s">
        <v>41</v>
      </c>
      <c r="AD75" s="7" t="s">
        <v>41</v>
      </c>
      <c r="AE75" s="7" t="s">
        <v>41</v>
      </c>
      <c r="AF75" s="7" t="s">
        <v>41</v>
      </c>
      <c r="AG75" s="7" t="s">
        <v>41</v>
      </c>
    </row>
    <row r="76">
      <c r="A76" s="7" t="s">
        <v>276</v>
      </c>
      <c r="B76" s="7" t="s">
        <v>277</v>
      </c>
      <c r="C76" s="7" t="s">
        <v>278</v>
      </c>
      <c r="D76" s="7" t="s">
        <v>124</v>
      </c>
      <c r="E76" s="8">
        <v>225.2</v>
      </c>
      <c r="F76" s="8">
        <v>216.0</v>
      </c>
      <c r="G76" s="7">
        <v>5.621</v>
      </c>
      <c r="H76" s="7">
        <v>8.442</v>
      </c>
      <c r="I76" s="7">
        <v>67.56</v>
      </c>
      <c r="J76" s="9">
        <v>0.086</v>
      </c>
      <c r="K76" s="7" t="s">
        <v>51</v>
      </c>
      <c r="L76" s="9">
        <v>0.0038</v>
      </c>
      <c r="M76" s="9">
        <v>0.1205</v>
      </c>
      <c r="N76" s="7">
        <v>0.03</v>
      </c>
      <c r="O76" s="7">
        <v>-2.89</v>
      </c>
      <c r="P76" s="7">
        <v>32.67</v>
      </c>
      <c r="Q76" s="7">
        <v>15.76</v>
      </c>
      <c r="R76" s="7">
        <v>17.41</v>
      </c>
      <c r="S76" s="7" t="s">
        <v>41</v>
      </c>
      <c r="T76" s="7" t="s">
        <v>41</v>
      </c>
      <c r="U76" s="7" t="s">
        <v>41</v>
      </c>
      <c r="V76" s="7" t="s">
        <v>41</v>
      </c>
      <c r="W76" s="7" t="s">
        <v>35</v>
      </c>
      <c r="X76" s="7" t="s">
        <v>43</v>
      </c>
      <c r="Y76" s="7" t="s">
        <v>41</v>
      </c>
      <c r="Z76" s="7" t="s">
        <v>41</v>
      </c>
      <c r="AA76" s="7" t="s">
        <v>41</v>
      </c>
      <c r="AB76" s="7" t="s">
        <v>41</v>
      </c>
      <c r="AC76" s="7" t="s">
        <v>41</v>
      </c>
      <c r="AD76" s="7" t="s">
        <v>41</v>
      </c>
      <c r="AE76" s="7" t="s">
        <v>41</v>
      </c>
      <c r="AF76" s="7" t="s">
        <v>41</v>
      </c>
      <c r="AG76" s="7" t="s">
        <v>41</v>
      </c>
    </row>
    <row r="77">
      <c r="A77" s="7" t="s">
        <v>279</v>
      </c>
      <c r="B77" s="7" t="s">
        <v>280</v>
      </c>
      <c r="C77" s="7" t="s">
        <v>281</v>
      </c>
      <c r="D77" s="7" t="s">
        <v>33</v>
      </c>
      <c r="E77" s="8">
        <v>9.5</v>
      </c>
      <c r="F77" s="8">
        <v>4.98</v>
      </c>
      <c r="G77" s="7">
        <v>0.181511</v>
      </c>
      <c r="H77" s="7">
        <v>0.007399</v>
      </c>
      <c r="I77" s="7">
        <v>34.93</v>
      </c>
      <c r="J77" s="7" t="s">
        <v>51</v>
      </c>
      <c r="K77" s="9">
        <v>0.0161</v>
      </c>
      <c r="L77" s="9">
        <v>0.0127</v>
      </c>
      <c r="M77" s="9">
        <v>0.0339</v>
      </c>
      <c r="N77" s="7">
        <v>0.14</v>
      </c>
      <c r="O77" s="7">
        <v>0.41258</v>
      </c>
      <c r="P77" s="7">
        <v>0.43762</v>
      </c>
      <c r="Q77" s="7">
        <v>0.30573</v>
      </c>
      <c r="R77" s="7">
        <v>0.33661</v>
      </c>
      <c r="S77" s="7">
        <v>0.07032</v>
      </c>
      <c r="T77" s="7">
        <v>0.08029</v>
      </c>
      <c r="U77" s="7">
        <v>0.04615</v>
      </c>
      <c r="V77" s="7">
        <v>0.04571</v>
      </c>
      <c r="W77" s="7" t="s">
        <v>59</v>
      </c>
      <c r="X77" s="7" t="s">
        <v>41</v>
      </c>
      <c r="Y77" s="7" t="s">
        <v>41</v>
      </c>
      <c r="Z77" s="7" t="s">
        <v>41</v>
      </c>
      <c r="AA77" s="7" t="s">
        <v>41</v>
      </c>
      <c r="AB77" s="7" t="s">
        <v>41</v>
      </c>
      <c r="AC77" s="7" t="s">
        <v>41</v>
      </c>
      <c r="AD77" s="7" t="s">
        <v>41</v>
      </c>
      <c r="AE77" s="7" t="s">
        <v>41</v>
      </c>
      <c r="AF77" s="7" t="s">
        <v>41</v>
      </c>
      <c r="AG77" s="7" t="s">
        <v>41</v>
      </c>
    </row>
    <row r="78">
      <c r="A78" s="7" t="s">
        <v>282</v>
      </c>
      <c r="B78" s="7" t="s">
        <v>283</v>
      </c>
      <c r="C78" s="7" t="s">
        <v>284</v>
      </c>
      <c r="D78" s="7" t="s">
        <v>33</v>
      </c>
      <c r="E78" s="8">
        <v>17.03</v>
      </c>
      <c r="F78" s="8">
        <v>23.4</v>
      </c>
      <c r="G78" s="7">
        <v>0.388333</v>
      </c>
      <c r="H78" s="7">
        <v>0.021835</v>
      </c>
      <c r="I78" s="7" t="s">
        <v>41</v>
      </c>
      <c r="J78" s="7" t="s">
        <v>51</v>
      </c>
      <c r="K78" s="9">
        <v>0.0505</v>
      </c>
      <c r="L78" s="9">
        <v>0.0295</v>
      </c>
      <c r="M78" s="9">
        <v>0.0902</v>
      </c>
      <c r="N78" s="7">
        <v>-6.28</v>
      </c>
      <c r="O78" s="7">
        <v>1.23</v>
      </c>
      <c r="P78" s="7">
        <v>1.25</v>
      </c>
      <c r="Q78" s="7">
        <v>1.03</v>
      </c>
      <c r="R78" s="7" t="s">
        <v>41</v>
      </c>
      <c r="S78" s="7">
        <v>0.1111</v>
      </c>
      <c r="T78" s="7">
        <v>0.086</v>
      </c>
      <c r="U78" s="7">
        <v>-0.0272</v>
      </c>
      <c r="V78" s="7" t="s">
        <v>41</v>
      </c>
      <c r="W78" s="7" t="s">
        <v>59</v>
      </c>
      <c r="X78" s="7" t="s">
        <v>41</v>
      </c>
      <c r="Y78" s="7" t="s">
        <v>41</v>
      </c>
      <c r="Z78" s="7" t="s">
        <v>41</v>
      </c>
      <c r="AA78" s="7" t="s">
        <v>41</v>
      </c>
      <c r="AB78" s="7" t="s">
        <v>41</v>
      </c>
      <c r="AC78" s="7" t="s">
        <v>41</v>
      </c>
      <c r="AD78" s="7" t="s">
        <v>41</v>
      </c>
      <c r="AE78" s="7" t="s">
        <v>41</v>
      </c>
      <c r="AF78" s="7" t="s">
        <v>41</v>
      </c>
      <c r="AG78" s="7" t="s">
        <v>41</v>
      </c>
    </row>
    <row r="79">
      <c r="A79" s="7" t="s">
        <v>285</v>
      </c>
      <c r="B79" s="7" t="s">
        <v>286</v>
      </c>
      <c r="C79" s="7" t="s">
        <v>287</v>
      </c>
      <c r="D79" s="7" t="s">
        <v>124</v>
      </c>
      <c r="E79" s="8">
        <v>1312.0</v>
      </c>
      <c r="F79" s="8">
        <v>2635.0</v>
      </c>
      <c r="G79" s="7">
        <v>3.522</v>
      </c>
      <c r="H79" s="7">
        <v>0.675662</v>
      </c>
      <c r="I79" s="7" t="s">
        <v>41</v>
      </c>
      <c r="J79" s="7" t="s">
        <v>51</v>
      </c>
      <c r="K79" s="9">
        <v>0.0306</v>
      </c>
      <c r="L79" s="9">
        <v>0.0217</v>
      </c>
      <c r="M79" s="9">
        <v>0.0678</v>
      </c>
      <c r="N79" s="7">
        <v>-5.56</v>
      </c>
      <c r="O79" s="7">
        <v>1.948</v>
      </c>
      <c r="P79" s="7">
        <v>2.319</v>
      </c>
      <c r="Q79" s="7">
        <v>2.761</v>
      </c>
      <c r="R79" s="7">
        <v>0.739</v>
      </c>
      <c r="S79" s="7">
        <v>0.383</v>
      </c>
      <c r="T79" s="7">
        <v>0.393</v>
      </c>
      <c r="U79" s="7">
        <v>0.783</v>
      </c>
      <c r="V79" s="7">
        <v>-0.183</v>
      </c>
      <c r="W79" s="7" t="s">
        <v>59</v>
      </c>
      <c r="X79" s="7" t="s">
        <v>52</v>
      </c>
      <c r="Y79" s="7" t="s">
        <v>41</v>
      </c>
      <c r="Z79" s="7" t="s">
        <v>41</v>
      </c>
      <c r="AA79" s="7" t="s">
        <v>41</v>
      </c>
      <c r="AB79" s="7" t="s">
        <v>41</v>
      </c>
      <c r="AC79" s="7" t="s">
        <v>41</v>
      </c>
      <c r="AD79" s="7" t="s">
        <v>41</v>
      </c>
      <c r="AE79" s="7" t="s">
        <v>41</v>
      </c>
      <c r="AF79" s="7" t="s">
        <v>41</v>
      </c>
      <c r="AG79" s="7" t="s">
        <v>41</v>
      </c>
    </row>
    <row r="80">
      <c r="A80" s="7" t="s">
        <v>288</v>
      </c>
      <c r="B80" s="7" t="s">
        <v>289</v>
      </c>
      <c r="C80" s="7" t="s">
        <v>290</v>
      </c>
      <c r="D80" s="7" t="s">
        <v>33</v>
      </c>
      <c r="E80" s="8">
        <v>12.6</v>
      </c>
      <c r="F80" s="8">
        <v>18.08</v>
      </c>
      <c r="G80" s="7">
        <v>14.89</v>
      </c>
      <c r="H80" s="7">
        <v>1.463</v>
      </c>
      <c r="I80" s="7">
        <v>1136.56</v>
      </c>
      <c r="J80" s="7" t="s">
        <v>51</v>
      </c>
      <c r="K80" s="7" t="s">
        <v>51</v>
      </c>
      <c r="L80" s="7" t="s">
        <v>51</v>
      </c>
      <c r="M80" s="7" t="s">
        <v>51</v>
      </c>
      <c r="N80" s="7">
        <v>-0.37</v>
      </c>
      <c r="O80" s="7">
        <v>7.427</v>
      </c>
      <c r="P80" s="7">
        <v>12.615</v>
      </c>
      <c r="Q80" s="7">
        <v>5.26</v>
      </c>
      <c r="R80" s="7">
        <v>6.391</v>
      </c>
      <c r="S80" s="7">
        <v>3.768</v>
      </c>
      <c r="T80" s="7">
        <v>7.203</v>
      </c>
      <c r="U80" s="7">
        <v>3.701</v>
      </c>
      <c r="V80" s="7">
        <v>4.029</v>
      </c>
      <c r="W80" s="7" t="s">
        <v>43</v>
      </c>
      <c r="X80" s="7" t="s">
        <v>43</v>
      </c>
      <c r="Y80" s="7" t="s">
        <v>41</v>
      </c>
      <c r="Z80" s="7" t="s">
        <v>41</v>
      </c>
      <c r="AA80" s="7" t="s">
        <v>41</v>
      </c>
      <c r="AB80" s="7" t="s">
        <v>41</v>
      </c>
      <c r="AC80" s="7">
        <v>15.0</v>
      </c>
      <c r="AD80" s="7">
        <v>0.9</v>
      </c>
      <c r="AE80" s="7">
        <v>9.5</v>
      </c>
      <c r="AF80" s="7">
        <v>4.2</v>
      </c>
      <c r="AG80" s="7">
        <v>5.0</v>
      </c>
    </row>
    <row r="81">
      <c r="A81" s="7" t="s">
        <v>291</v>
      </c>
      <c r="B81" s="7" t="s">
        <v>292</v>
      </c>
      <c r="C81" s="7" t="s">
        <v>293</v>
      </c>
      <c r="D81" s="7" t="s">
        <v>33</v>
      </c>
      <c r="E81" s="8">
        <v>5.105</v>
      </c>
      <c r="F81" s="8">
        <v>4.543</v>
      </c>
      <c r="G81" s="7">
        <v>9.319</v>
      </c>
      <c r="H81" s="7">
        <v>11.535</v>
      </c>
      <c r="I81" s="7">
        <v>5.95</v>
      </c>
      <c r="J81" s="9">
        <v>0.0374</v>
      </c>
      <c r="K81" s="7" t="s">
        <v>51</v>
      </c>
      <c r="L81" s="9">
        <v>0.003</v>
      </c>
      <c r="M81" s="9">
        <v>0.048</v>
      </c>
      <c r="N81" s="7">
        <v>0.78</v>
      </c>
      <c r="O81" s="7">
        <v>20.819</v>
      </c>
      <c r="P81" s="7">
        <v>67.489</v>
      </c>
      <c r="Q81" s="7">
        <v>51.346</v>
      </c>
      <c r="R81" s="7">
        <v>52.977</v>
      </c>
      <c r="S81" s="7" t="s">
        <v>41</v>
      </c>
      <c r="T81" s="7" t="s">
        <v>41</v>
      </c>
      <c r="U81" s="7" t="s">
        <v>41</v>
      </c>
      <c r="V81" s="7" t="s">
        <v>41</v>
      </c>
      <c r="W81" s="7" t="s">
        <v>52</v>
      </c>
      <c r="X81" s="7" t="s">
        <v>52</v>
      </c>
      <c r="Y81" s="7" t="s">
        <v>41</v>
      </c>
      <c r="Z81" s="7" t="s">
        <v>41</v>
      </c>
      <c r="AA81" s="7" t="s">
        <v>41</v>
      </c>
      <c r="AB81" s="7" t="s">
        <v>41</v>
      </c>
      <c r="AC81" s="7">
        <v>15.0</v>
      </c>
      <c r="AD81" s="7">
        <v>0.5</v>
      </c>
      <c r="AE81" s="7">
        <v>7.7</v>
      </c>
      <c r="AF81" s="7">
        <v>6.4</v>
      </c>
      <c r="AG81" s="7">
        <v>3.0</v>
      </c>
    </row>
    <row r="82">
      <c r="A82" s="7" t="s">
        <v>294</v>
      </c>
      <c r="B82" s="7" t="s">
        <v>295</v>
      </c>
      <c r="C82" s="7" t="s">
        <v>296</v>
      </c>
      <c r="D82" s="7" t="s">
        <v>33</v>
      </c>
      <c r="E82" s="8">
        <v>26.64</v>
      </c>
      <c r="F82" s="8">
        <v>29.02</v>
      </c>
      <c r="G82" s="7">
        <v>7.489</v>
      </c>
      <c r="H82" s="7">
        <v>0.881329</v>
      </c>
      <c r="I82" s="7">
        <v>149.74</v>
      </c>
      <c r="J82" s="7" t="s">
        <v>51</v>
      </c>
      <c r="K82" s="9">
        <v>-0.0283</v>
      </c>
      <c r="L82" s="9">
        <v>-0.0226</v>
      </c>
      <c r="M82" s="9">
        <v>-0.0591</v>
      </c>
      <c r="N82" s="7">
        <v>-0.1</v>
      </c>
      <c r="O82" s="7">
        <v>3.28</v>
      </c>
      <c r="P82" s="7">
        <v>4.05</v>
      </c>
      <c r="Q82" s="7">
        <v>1.62</v>
      </c>
      <c r="R82" s="7">
        <v>2.2</v>
      </c>
      <c r="S82" s="7">
        <v>0.625</v>
      </c>
      <c r="T82" s="7">
        <v>0.862</v>
      </c>
      <c r="U82" s="7">
        <v>-0.391</v>
      </c>
      <c r="V82" s="7" t="s">
        <v>41</v>
      </c>
      <c r="W82" s="7" t="s">
        <v>35</v>
      </c>
      <c r="X82" s="7" t="s">
        <v>35</v>
      </c>
      <c r="Y82" s="7" t="s">
        <v>41</v>
      </c>
      <c r="Z82" s="7" t="s">
        <v>41</v>
      </c>
      <c r="AA82" s="7" t="s">
        <v>59</v>
      </c>
      <c r="AB82" s="7" t="s">
        <v>43</v>
      </c>
      <c r="AC82" s="7">
        <v>18.0</v>
      </c>
      <c r="AD82" s="7">
        <v>6.8</v>
      </c>
      <c r="AE82" s="7">
        <v>7.2</v>
      </c>
      <c r="AF82" s="7">
        <v>4.3</v>
      </c>
      <c r="AG82" s="7">
        <v>2.0</v>
      </c>
    </row>
    <row r="83">
      <c r="A83" s="7" t="s">
        <v>297</v>
      </c>
      <c r="B83" s="7" t="s">
        <v>298</v>
      </c>
      <c r="C83" s="7" t="s">
        <v>299</v>
      </c>
      <c r="D83" s="7" t="s">
        <v>40</v>
      </c>
      <c r="E83" s="8">
        <v>4.0</v>
      </c>
      <c r="F83" s="8">
        <v>18.93</v>
      </c>
      <c r="G83" s="7">
        <v>21.436</v>
      </c>
      <c r="H83" s="7">
        <v>39.679</v>
      </c>
      <c r="I83" s="7" t="s">
        <v>41</v>
      </c>
      <c r="J83" s="7" t="s">
        <v>51</v>
      </c>
      <c r="K83" s="9">
        <v>-0.0599</v>
      </c>
      <c r="L83" s="9">
        <v>-0.0482</v>
      </c>
      <c r="M83" s="9">
        <v>-0.0982</v>
      </c>
      <c r="N83" s="7">
        <v>-8.46</v>
      </c>
      <c r="O83" s="7">
        <v>18.88</v>
      </c>
      <c r="P83" s="7">
        <v>20.83</v>
      </c>
      <c r="Q83" s="7">
        <v>5.6</v>
      </c>
      <c r="R83" s="7">
        <v>1.91</v>
      </c>
      <c r="S83" s="7">
        <v>5.34</v>
      </c>
      <c r="T83" s="7">
        <v>5.44</v>
      </c>
      <c r="U83" s="7">
        <v>-2.34</v>
      </c>
      <c r="V83" s="7">
        <v>-3.89</v>
      </c>
      <c r="W83" s="7" t="s">
        <v>52</v>
      </c>
      <c r="X83" s="7" t="s">
        <v>43</v>
      </c>
      <c r="Y83" s="7" t="s">
        <v>41</v>
      </c>
      <c r="Z83" s="7" t="s">
        <v>41</v>
      </c>
      <c r="AA83" s="7" t="s">
        <v>43</v>
      </c>
      <c r="AB83" s="7" t="s">
        <v>43</v>
      </c>
      <c r="AC83" s="7">
        <v>24.0</v>
      </c>
      <c r="AD83" s="7">
        <v>10.3</v>
      </c>
      <c r="AE83" s="7">
        <v>9.7</v>
      </c>
      <c r="AF83" s="7">
        <v>3.8</v>
      </c>
      <c r="AG83" s="7">
        <v>3.0</v>
      </c>
    </row>
    <row r="84">
      <c r="A84" s="7" t="s">
        <v>300</v>
      </c>
      <c r="B84" s="7" t="s">
        <v>301</v>
      </c>
      <c r="C84" s="7" t="s">
        <v>302</v>
      </c>
      <c r="D84" s="7" t="s">
        <v>40</v>
      </c>
      <c r="E84" s="8">
        <v>43.4</v>
      </c>
      <c r="F84" s="8">
        <v>39.02</v>
      </c>
      <c r="G84" s="7">
        <v>29.161</v>
      </c>
      <c r="H84" s="7">
        <v>9.458</v>
      </c>
      <c r="I84" s="7" t="s">
        <v>41</v>
      </c>
      <c r="J84" s="7" t="s">
        <v>51</v>
      </c>
      <c r="K84" s="9">
        <v>0.0631</v>
      </c>
      <c r="L84" s="9">
        <v>0.0516</v>
      </c>
      <c r="M84" s="9">
        <v>0.1932</v>
      </c>
      <c r="N84" s="7">
        <v>-1.51</v>
      </c>
      <c r="O84" s="7">
        <v>13.73</v>
      </c>
      <c r="P84" s="7">
        <v>13.74</v>
      </c>
      <c r="Q84" s="7">
        <v>2.94</v>
      </c>
      <c r="R84" s="7">
        <v>4.23</v>
      </c>
      <c r="S84" s="7">
        <v>5.02</v>
      </c>
      <c r="T84" s="7">
        <v>4.99</v>
      </c>
      <c r="U84" s="7">
        <v>-0.304</v>
      </c>
      <c r="V84" s="7">
        <v>0.398</v>
      </c>
      <c r="W84" s="7" t="s">
        <v>34</v>
      </c>
      <c r="X84" s="7" t="s">
        <v>34</v>
      </c>
      <c r="Y84" s="7" t="s">
        <v>41</v>
      </c>
      <c r="Z84" s="7" t="s">
        <v>41</v>
      </c>
      <c r="AA84" s="7" t="s">
        <v>34</v>
      </c>
      <c r="AB84" s="7" t="s">
        <v>34</v>
      </c>
      <c r="AC84" s="7">
        <v>18.0</v>
      </c>
      <c r="AD84" s="7">
        <v>1.6</v>
      </c>
      <c r="AE84" s="7">
        <v>8.0</v>
      </c>
      <c r="AF84" s="7">
        <v>8.3</v>
      </c>
      <c r="AG84" s="7">
        <v>2.0</v>
      </c>
    </row>
    <row r="85">
      <c r="A85" s="7" t="s">
        <v>303</v>
      </c>
      <c r="B85" s="7" t="s">
        <v>304</v>
      </c>
      <c r="C85" s="7" t="s">
        <v>305</v>
      </c>
      <c r="D85" s="7" t="s">
        <v>33</v>
      </c>
      <c r="E85" s="8">
        <v>13.64</v>
      </c>
      <c r="F85" s="8">
        <v>22.82</v>
      </c>
      <c r="G85" s="7">
        <v>4.883</v>
      </c>
      <c r="H85" s="7">
        <v>0.114027</v>
      </c>
      <c r="I85" s="7" t="s">
        <v>41</v>
      </c>
      <c r="J85" s="7" t="s">
        <v>51</v>
      </c>
      <c r="K85" s="9">
        <v>-0.0021</v>
      </c>
      <c r="L85" s="9">
        <v>-0.0016</v>
      </c>
      <c r="M85" s="9">
        <v>0.025</v>
      </c>
      <c r="N85" s="7">
        <v>-2.84</v>
      </c>
      <c r="O85" s="7">
        <v>3.18</v>
      </c>
      <c r="P85" s="7">
        <v>3.49</v>
      </c>
      <c r="Q85" s="7">
        <v>2.1</v>
      </c>
      <c r="R85" s="7">
        <v>2.52</v>
      </c>
      <c r="S85" s="7">
        <v>1.51</v>
      </c>
      <c r="T85" s="7">
        <v>1.7</v>
      </c>
      <c r="U85" s="7">
        <v>1.03</v>
      </c>
      <c r="V85" s="7">
        <v>1.15</v>
      </c>
      <c r="W85" s="7" t="s">
        <v>35</v>
      </c>
      <c r="X85" s="7" t="s">
        <v>34</v>
      </c>
      <c r="Y85" s="7" t="s">
        <v>41</v>
      </c>
      <c r="Z85" s="7" t="s">
        <v>41</v>
      </c>
      <c r="AA85" s="7" t="s">
        <v>41</v>
      </c>
      <c r="AB85" s="7" t="s">
        <v>41</v>
      </c>
      <c r="AC85" s="7">
        <v>16.0</v>
      </c>
      <c r="AD85" s="7">
        <v>0.1</v>
      </c>
      <c r="AE85" s="7">
        <v>8.9</v>
      </c>
      <c r="AF85" s="7">
        <v>6.6</v>
      </c>
      <c r="AG85" s="7">
        <v>1.0</v>
      </c>
    </row>
    <row r="86">
      <c r="A86" s="7" t="s">
        <v>306</v>
      </c>
      <c r="B86" s="7" t="s">
        <v>307</v>
      </c>
      <c r="C86" s="7" t="s">
        <v>308</v>
      </c>
      <c r="D86" s="7" t="s">
        <v>33</v>
      </c>
      <c r="E86" s="8">
        <v>19.9</v>
      </c>
      <c r="F86" s="8">
        <v>9.0</v>
      </c>
      <c r="G86" s="7">
        <v>0.234826</v>
      </c>
      <c r="H86" s="7">
        <v>0.006008</v>
      </c>
      <c r="I86" s="7" t="s">
        <v>41</v>
      </c>
      <c r="J86" s="7" t="s">
        <v>51</v>
      </c>
      <c r="K86" s="9">
        <v>-6.0E-4</v>
      </c>
      <c r="L86" s="9">
        <v>-3.0E-4</v>
      </c>
      <c r="M86" s="9">
        <v>-0.0043</v>
      </c>
      <c r="N86" s="7">
        <v>-0.46</v>
      </c>
      <c r="O86" s="7">
        <v>1.67</v>
      </c>
      <c r="P86" s="7">
        <v>1.59</v>
      </c>
      <c r="Q86" s="7">
        <v>1.47</v>
      </c>
      <c r="R86" s="7">
        <v>1.34</v>
      </c>
      <c r="S86" s="7">
        <v>0.20195</v>
      </c>
      <c r="T86" s="7">
        <v>0.22243</v>
      </c>
      <c r="U86" s="7">
        <v>0.13699</v>
      </c>
      <c r="V86" s="7">
        <v>0.16316</v>
      </c>
      <c r="W86" s="7" t="s">
        <v>41</v>
      </c>
      <c r="X86" s="7" t="s">
        <v>41</v>
      </c>
      <c r="Y86" s="7" t="s">
        <v>41</v>
      </c>
      <c r="Z86" s="7" t="s">
        <v>41</v>
      </c>
      <c r="AA86" s="7" t="s">
        <v>41</v>
      </c>
      <c r="AB86" s="7" t="s">
        <v>41</v>
      </c>
      <c r="AC86" s="7" t="s">
        <v>41</v>
      </c>
      <c r="AD86" s="7" t="s">
        <v>41</v>
      </c>
      <c r="AE86" s="7" t="s">
        <v>41</v>
      </c>
      <c r="AF86" s="7" t="s">
        <v>41</v>
      </c>
      <c r="AG86" s="7" t="s">
        <v>41</v>
      </c>
    </row>
    <row r="87">
      <c r="A87" s="7" t="s">
        <v>309</v>
      </c>
      <c r="B87" s="7" t="s">
        <v>310</v>
      </c>
      <c r="C87" s="7" t="s">
        <v>311</v>
      </c>
      <c r="D87" s="7" t="s">
        <v>40</v>
      </c>
      <c r="E87" s="8">
        <v>29.81</v>
      </c>
      <c r="F87" s="8">
        <v>94.04</v>
      </c>
      <c r="G87" s="7">
        <v>10.248</v>
      </c>
      <c r="H87" s="7">
        <v>0.999921</v>
      </c>
      <c r="I87" s="7" t="s">
        <v>41</v>
      </c>
      <c r="J87" s="7" t="s">
        <v>51</v>
      </c>
      <c r="K87" s="9">
        <v>0.0285</v>
      </c>
      <c r="L87" s="9">
        <v>0.0247</v>
      </c>
      <c r="M87" s="9">
        <v>0.0576</v>
      </c>
      <c r="N87" s="7">
        <v>-2.14</v>
      </c>
      <c r="O87" s="7">
        <v>4.45</v>
      </c>
      <c r="P87" s="7">
        <v>5.02</v>
      </c>
      <c r="Q87" s="7">
        <v>2.07</v>
      </c>
      <c r="R87" s="7">
        <v>3.03</v>
      </c>
      <c r="S87" s="7">
        <v>0.6</v>
      </c>
      <c r="T87" s="7">
        <v>0.519</v>
      </c>
      <c r="U87" s="7">
        <v>-0.348</v>
      </c>
      <c r="V87" s="7">
        <v>0.076</v>
      </c>
      <c r="W87" s="7" t="s">
        <v>42</v>
      </c>
      <c r="X87" s="7" t="s">
        <v>266</v>
      </c>
      <c r="Y87" s="7" t="s">
        <v>41</v>
      </c>
      <c r="Z87" s="7" t="s">
        <v>41</v>
      </c>
      <c r="AA87" s="7" t="s">
        <v>41</v>
      </c>
      <c r="AB87" s="7" t="s">
        <v>41</v>
      </c>
      <c r="AC87" s="7">
        <v>28.0</v>
      </c>
      <c r="AD87" s="7">
        <v>11.8</v>
      </c>
      <c r="AE87" s="7">
        <v>10.8</v>
      </c>
      <c r="AF87" s="7">
        <v>5.3</v>
      </c>
      <c r="AG87" s="7">
        <v>2.0</v>
      </c>
    </row>
  </sheetData>
  <drawing r:id="rId1"/>
</worksheet>
</file>